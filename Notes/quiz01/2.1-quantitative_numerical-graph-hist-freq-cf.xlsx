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vb4kmdDAJr7xF95Bn3Q3w2ayVeeklwZuP2LyBwDouyU="/>
    </ext>
  </extLst>
</workbook>
</file>

<file path=xl/sharedStrings.xml><?xml version="1.0" encoding="utf-8"?>
<sst xmlns="http://schemas.openxmlformats.org/spreadsheetml/2006/main" count="64" uniqueCount="60">
  <si>
    <t>2.1:example.1</t>
  </si>
  <si>
    <t>frequency table</t>
  </si>
  <si>
    <t>2.1 summary-Graph-Quantitative data-frequency table</t>
  </si>
  <si>
    <t>frequency</t>
  </si>
  <si>
    <t>f/n</t>
  </si>
  <si>
    <t>rf*100</t>
  </si>
  <si>
    <t>Income(tk)</t>
  </si>
  <si>
    <t>No. of students,f</t>
  </si>
  <si>
    <t>cf</t>
  </si>
  <si>
    <t>rf</t>
  </si>
  <si>
    <t>%</t>
  </si>
  <si>
    <t>cumulative %</t>
  </si>
  <si>
    <t>50-100</t>
  </si>
  <si>
    <t>8/52=</t>
  </si>
  <si>
    <t>100-150</t>
  </si>
  <si>
    <t>8+11=</t>
  </si>
  <si>
    <t>11/52=</t>
  </si>
  <si>
    <t>150-200</t>
  </si>
  <si>
    <t>10+19=</t>
  </si>
  <si>
    <t>10/52=</t>
  </si>
  <si>
    <t>200-250</t>
  </si>
  <si>
    <t>20+29=</t>
  </si>
  <si>
    <t>20/52=</t>
  </si>
  <si>
    <t>250-300</t>
  </si>
  <si>
    <t>3+49=</t>
  </si>
  <si>
    <t>3/52=</t>
  </si>
  <si>
    <t>total, n=52</t>
  </si>
  <si>
    <t xml:space="preserve">a. summarize the data by cumulative frequency(cf), relative frequency (rf), relative percent frequency(%), </t>
  </si>
  <si>
    <t xml:space="preserve">and relative percent cumulative frequency. </t>
  </si>
  <si>
    <t>b. Write your conclusion/analysis/comment/interpret</t>
  </si>
  <si>
    <t>comment(maximum  38.5%students' income  is 200-250tk and minimum 5.8% students' income is 250-300tk</t>
  </si>
  <si>
    <t>1. Represent the data by a histogram , a frequency polygon(curve) and comment</t>
  </si>
  <si>
    <r>
      <rPr>
        <rFont val="Calibri"/>
        <color theme="1"/>
        <sz val="16.0"/>
      </rPr>
      <t>or 2. Draw a suitable graph(s) for the above data.</t>
    </r>
    <r>
      <rPr>
        <rFont val="Calibri"/>
        <color theme="1"/>
        <sz val="12.0"/>
      </rPr>
      <t>(when data is numerical continuous,histogram and frequency polygon are suitable</t>
    </r>
    <r>
      <rPr>
        <rFont val="Calibri"/>
        <color theme="1"/>
        <sz val="16.0"/>
      </rPr>
      <t xml:space="preserve"> )</t>
    </r>
  </si>
  <si>
    <t>3. How many students(% or proportion) do have income less than  150 Tk?  (8+11=19, which is (15.4+21.2=)36.6%)</t>
  </si>
  <si>
    <t>4. How many students do have income equal or more than (&gt;=200) 200 Tk?(20+3=23,(38.5+5.8=)44.3%</t>
  </si>
  <si>
    <t>3. a cumulative frequency polygon(curve)/ogive</t>
  </si>
  <si>
    <t xml:space="preserve"> </t>
  </si>
  <si>
    <t>example.2</t>
  </si>
  <si>
    <t>without gap</t>
  </si>
  <si>
    <t>Age (years)</t>
  </si>
  <si>
    <t>No. of persons</t>
  </si>
  <si>
    <t>20-29</t>
  </si>
  <si>
    <t>30-39</t>
  </si>
  <si>
    <t>40-49</t>
  </si>
  <si>
    <t>50-59</t>
  </si>
  <si>
    <t xml:space="preserve">a. summarize the data by cumulative frequency, relative frequency, relative percent frequency, </t>
  </si>
  <si>
    <t>b. Write your conclusion/analysis/comment</t>
  </si>
  <si>
    <t>1. Represent the data by a histogram and comment</t>
  </si>
  <si>
    <t>2. Represent the data by a frequency polygon(curve) and comment</t>
  </si>
  <si>
    <t>3. Represent the data by a cumulative frequency polygon(curve)/ogive</t>
  </si>
  <si>
    <t>4. Draw a suitable graph for the above data.( 1 or 2 or both)</t>
  </si>
  <si>
    <t>Age(years)</t>
  </si>
  <si>
    <t>No. of Person</t>
  </si>
  <si>
    <t>15-20</t>
  </si>
  <si>
    <t>20-25</t>
  </si>
  <si>
    <t>25-30</t>
  </si>
  <si>
    <t>30-35</t>
  </si>
  <si>
    <t>35-40</t>
  </si>
  <si>
    <t>Draw the suitable graphs for the data and comment</t>
  </si>
  <si>
    <t>Hints(histogram/frequency polygon)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</si>
</sst>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"/>
  </numFmts>
  <fonts count="10">
    <font>
      <sz val="11.0"/>
      <color theme="1"/>
      <name val="Calibri"/>
      <scheme val="minor"/>
    </font>
    <font>
      <sz val="14.0"/>
      <color theme="1"/>
      <name val="Calibri"/>
    </font>
    <font>
      <sz val="16.0"/>
      <color theme="1"/>
      <name val="Calibri"/>
    </font>
    <font>
      <color theme="1"/>
      <name val="Calibri"/>
      <scheme val="minor"/>
    </font>
    <font>
      <sz val="15.0"/>
      <color theme="1"/>
      <name val="Calibri"/>
      <scheme val="minor"/>
    </font>
    <font>
      <sz val="14.0"/>
      <color rgb="FF000000"/>
      <name val="Calibri"/>
    </font>
    <font>
      <color theme="1"/>
      <name val="Calibri"/>
    </font>
    <font>
      <sz val="18.0"/>
      <color theme="1"/>
      <name val="Calibri"/>
    </font>
    <font>
      <sz val="12.0"/>
      <color theme="1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2" numFmtId="0" xfId="0" applyFill="1" applyFont="1"/>
    <xf borderId="0" fillId="2" fontId="3" numFmtId="164" xfId="0" applyFont="1" applyNumberFormat="1"/>
    <xf borderId="0" fillId="2" fontId="3" numFmtId="0" xfId="0" applyFont="1"/>
    <xf borderId="0" fillId="2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2" fontId="1" numFmtId="164" xfId="0" applyAlignment="1" applyFont="1" applyNumberFormat="1">
      <alignment horizontal="center" readingOrder="0"/>
    </xf>
    <xf borderId="0" fillId="2" fontId="1" numFmtId="0" xfId="0" applyAlignment="1" applyFont="1">
      <alignment readingOrder="0"/>
    </xf>
    <xf borderId="1" fillId="3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left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0" fillId="2" fontId="2" numFmtId="165" xfId="0" applyAlignment="1" applyFont="1" applyNumberFormat="1">
      <alignment horizontal="center" readingOrder="0"/>
    </xf>
    <xf borderId="0" fillId="2" fontId="4" numFmtId="0" xfId="0" applyAlignment="1" applyFont="1">
      <alignment readingOrder="0"/>
    </xf>
    <xf borderId="0" fillId="2" fontId="4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4" fontId="5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3" numFmtId="164" xfId="0" applyFont="1" applyNumberFormat="1"/>
    <xf borderId="0" fillId="5" fontId="6" numFmtId="0" xfId="0" applyFill="1" applyFont="1"/>
    <xf borderId="0" fillId="5" fontId="3" numFmtId="0" xfId="0" applyFont="1"/>
    <xf borderId="0" fillId="5" fontId="3" numFmtId="164" xfId="0" applyFont="1" applyNumberFormat="1"/>
    <xf borderId="0" fillId="5" fontId="1" numFmtId="0" xfId="0" applyFont="1"/>
    <xf borderId="0" fillId="0" fontId="6" numFmtId="0" xfId="0" applyFont="1"/>
    <xf borderId="0" fillId="0" fontId="3" numFmtId="0" xfId="0" applyAlignment="1" applyFont="1">
      <alignment readingOrder="0"/>
    </xf>
    <xf borderId="1" fillId="0" fontId="7" numFmtId="0" xfId="0" applyBorder="1" applyFont="1"/>
    <xf borderId="0" fillId="0" fontId="7" numFmtId="0" xfId="0" applyFont="1"/>
    <xf borderId="0" fillId="6" fontId="3" numFmtId="0" xfId="0" applyAlignment="1" applyFill="1" applyFont="1">
      <alignment readingOrder="0"/>
    </xf>
    <xf borderId="0" fillId="7" fontId="3" numFmtId="0" xfId="0" applyFill="1" applyFont="1"/>
    <xf borderId="0" fillId="7" fontId="2" numFmtId="0" xfId="0" applyAlignment="1" applyFont="1">
      <alignment horizontal="left"/>
    </xf>
    <xf borderId="2" fillId="0" fontId="8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center" shrinkToFit="0" vertical="top" wrapText="1"/>
    </xf>
    <xf borderId="5" fillId="0" fontId="8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Sheet2!$C$3</c:f>
            </c:strRef>
          </c:tx>
          <c:spPr>
            <a:solidFill>
              <a:srgbClr val="4F81BD"/>
            </a:solidFill>
            <a:ln cmpd="sng">
              <a:solidFill>
                <a:srgbClr val="000000">
                  <a:alpha val="0"/>
                </a:srgbClr>
              </a:solidFill>
            </a:ln>
          </c:spPr>
          <c:dPt>
            <c:idx val="1"/>
          </c:dPt>
          <c:cat>
            <c:strRef>
              <c:f>Sheet2!$B$4:$B$7</c:f>
            </c:strRef>
          </c:cat>
          <c:val>
            <c:numRef>
              <c:f>Sheet2!$C$4:$C$7</c:f>
              <c:numCache/>
            </c:numRef>
          </c:val>
        </c:ser>
        <c:overlap val="100"/>
        <c:axId val="348869549"/>
        <c:axId val="1635024211"/>
      </c:barChart>
      <c:catAx>
        <c:axId val="348869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(years)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024211"/>
      </c:catAx>
      <c:valAx>
        <c:axId val="1635024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persons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869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16</xdr:row>
      <xdr:rowOff>57150</xdr:rowOff>
    </xdr:from>
    <xdr:ext cx="5715000" cy="3533775"/>
    <xdr:graphicFrame>
      <xdr:nvGraphicFramePr>
        <xdr:cNvPr id="72849093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1.71"/>
    <col customWidth="1" min="3" max="3" width="10.43"/>
    <col customWidth="1" min="4" max="4" width="14.57"/>
    <col customWidth="1" min="5" max="5" width="13.43"/>
    <col customWidth="1" min="6" max="6" width="11.57"/>
    <col customWidth="1" min="7" max="7" width="14.0"/>
    <col customWidth="1" min="8" max="8" width="14.43"/>
    <col customWidth="1" min="9" max="9" width="10.71"/>
    <col customWidth="1" min="10" max="25" width="8.71"/>
  </cols>
  <sheetData>
    <row r="1">
      <c r="A1" s="1" t="s">
        <v>0</v>
      </c>
      <c r="B1" s="2" t="s">
        <v>1</v>
      </c>
      <c r="C1" s="3" t="s">
        <v>2</v>
      </c>
      <c r="D1" s="3"/>
      <c r="E1" s="3"/>
      <c r="F1" s="4"/>
      <c r="G1" s="5"/>
      <c r="H1" s="6"/>
    </row>
    <row r="2">
      <c r="A2" s="7"/>
      <c r="B2" s="8" t="s">
        <v>3</v>
      </c>
      <c r="C2" s="3"/>
      <c r="D2" s="3"/>
      <c r="E2" s="3"/>
      <c r="F2" s="9" t="s">
        <v>4</v>
      </c>
      <c r="G2" s="10" t="s">
        <v>5</v>
      </c>
      <c r="H2" s="6"/>
    </row>
    <row r="3">
      <c r="A3" s="11" t="s">
        <v>6</v>
      </c>
      <c r="B3" s="12" t="s">
        <v>7</v>
      </c>
      <c r="C3" s="13"/>
      <c r="D3" s="14" t="s">
        <v>8</v>
      </c>
      <c r="E3" s="3"/>
      <c r="F3" s="9" t="s">
        <v>9</v>
      </c>
      <c r="G3" s="10" t="s">
        <v>10</v>
      </c>
      <c r="H3" s="10" t="s">
        <v>11</v>
      </c>
      <c r="I3" s="15"/>
    </row>
    <row r="4">
      <c r="A4" s="11" t="s">
        <v>12</v>
      </c>
      <c r="B4" s="16">
        <v>8.0</v>
      </c>
      <c r="C4" s="13">
        <v>8.0</v>
      </c>
      <c r="D4" s="14">
        <v>8.0</v>
      </c>
      <c r="E4" s="13" t="s">
        <v>13</v>
      </c>
      <c r="F4" s="17">
        <f>8/52</f>
        <v>0.1538461538</v>
      </c>
      <c r="G4" s="10">
        <v>15.4</v>
      </c>
      <c r="H4" s="10">
        <v>15.4</v>
      </c>
      <c r="I4" s="15"/>
    </row>
    <row r="5">
      <c r="A5" s="11" t="s">
        <v>14</v>
      </c>
      <c r="B5" s="16">
        <v>11.0</v>
      </c>
      <c r="C5" s="13" t="s">
        <v>15</v>
      </c>
      <c r="D5" s="14">
        <v>19.0</v>
      </c>
      <c r="E5" s="18" t="s">
        <v>16</v>
      </c>
      <c r="F5" s="19">
        <f>11/52</f>
        <v>0.2115384615</v>
      </c>
      <c r="G5" s="10">
        <v>21.2</v>
      </c>
      <c r="H5" s="10">
        <f>21.2+15.4</f>
        <v>36.6</v>
      </c>
      <c r="I5" s="15"/>
      <c r="J5" s="15"/>
    </row>
    <row r="6">
      <c r="A6" s="11" t="s">
        <v>17</v>
      </c>
      <c r="B6" s="16">
        <v>10.0</v>
      </c>
      <c r="C6" s="13" t="s">
        <v>18</v>
      </c>
      <c r="D6" s="14">
        <v>29.0</v>
      </c>
      <c r="E6" s="13" t="s">
        <v>19</v>
      </c>
      <c r="F6" s="17">
        <f>10/52</f>
        <v>0.1923076923</v>
      </c>
      <c r="G6" s="10">
        <v>19.2</v>
      </c>
      <c r="H6" s="10">
        <f>19.2+36.6</f>
        <v>55.8</v>
      </c>
      <c r="I6" s="15"/>
      <c r="J6" s="15"/>
    </row>
    <row r="7">
      <c r="A7" s="11" t="s">
        <v>20</v>
      </c>
      <c r="B7" s="16">
        <v>20.0</v>
      </c>
      <c r="C7" s="13" t="s">
        <v>21</v>
      </c>
      <c r="D7" s="14">
        <v>49.0</v>
      </c>
      <c r="E7" s="13" t="s">
        <v>22</v>
      </c>
      <c r="F7" s="17">
        <f>20/52</f>
        <v>0.3846153846</v>
      </c>
      <c r="G7" s="10">
        <v>38.5</v>
      </c>
      <c r="H7" s="10">
        <f>38.5+55.8</f>
        <v>94.3</v>
      </c>
      <c r="I7" s="15"/>
      <c r="J7" s="15"/>
    </row>
    <row r="8">
      <c r="A8" s="11" t="s">
        <v>23</v>
      </c>
      <c r="B8" s="16">
        <v>3.0</v>
      </c>
      <c r="C8" s="13" t="s">
        <v>24</v>
      </c>
      <c r="D8" s="14">
        <v>52.0</v>
      </c>
      <c r="E8" s="13" t="s">
        <v>25</v>
      </c>
      <c r="F8" s="17">
        <f>3/52</f>
        <v>0.05769230769</v>
      </c>
      <c r="G8" s="10">
        <v>5.8</v>
      </c>
      <c r="H8" s="10">
        <f>94.3+5.8</f>
        <v>100.1</v>
      </c>
      <c r="I8" s="15"/>
      <c r="J8" s="15"/>
    </row>
    <row r="9">
      <c r="A9" s="7"/>
      <c r="B9" s="20" t="s">
        <v>26</v>
      </c>
      <c r="C9" s="2"/>
      <c r="D9" s="2"/>
      <c r="E9" s="21"/>
      <c r="F9" s="22"/>
      <c r="G9" s="15"/>
      <c r="H9" s="15"/>
      <c r="I9" s="15"/>
    </row>
    <row r="10">
      <c r="A10" s="21" t="s">
        <v>27</v>
      </c>
      <c r="B10" s="7"/>
      <c r="C10" s="2"/>
      <c r="D10" s="2"/>
      <c r="E10" s="2"/>
      <c r="F10" s="22"/>
      <c r="G10" s="15"/>
      <c r="H10" s="15"/>
    </row>
    <row r="11">
      <c r="A11" s="2" t="s">
        <v>28</v>
      </c>
      <c r="B11" s="7"/>
      <c r="C11" s="2"/>
      <c r="D11" s="2"/>
      <c r="E11" s="2"/>
      <c r="F11" s="22"/>
      <c r="G11" s="15"/>
      <c r="H11" s="15"/>
    </row>
    <row r="12">
      <c r="A12" s="21" t="s">
        <v>29</v>
      </c>
      <c r="B12" s="7"/>
      <c r="C12" s="2"/>
      <c r="D12" s="2"/>
      <c r="E12" s="2"/>
      <c r="F12" s="22"/>
      <c r="G12" s="15"/>
      <c r="H12" s="15"/>
    </row>
    <row r="13">
      <c r="A13" s="23" t="s">
        <v>30</v>
      </c>
      <c r="B13" s="2"/>
      <c r="C13" s="2"/>
      <c r="D13" s="2"/>
      <c r="E13" s="2"/>
      <c r="F13" s="22"/>
      <c r="G13" s="15"/>
      <c r="H13" s="15"/>
    </row>
    <row r="14">
      <c r="A14" s="8" t="s">
        <v>31</v>
      </c>
      <c r="B14" s="2"/>
      <c r="C14" s="2"/>
      <c r="D14" s="2"/>
      <c r="E14" s="2"/>
      <c r="F14" s="22"/>
      <c r="G14" s="15"/>
      <c r="H14" s="15"/>
    </row>
    <row r="15">
      <c r="A15" s="24" t="s">
        <v>32</v>
      </c>
      <c r="F15" s="22"/>
      <c r="H15" s="15"/>
    </row>
    <row r="16" ht="21.0" customHeight="1">
      <c r="A16" s="25"/>
      <c r="B16" s="15"/>
      <c r="C16" s="15"/>
      <c r="D16" s="15"/>
      <c r="F16" s="22"/>
      <c r="H16" s="15"/>
    </row>
    <row r="17">
      <c r="A17" s="25" t="s">
        <v>33</v>
      </c>
      <c r="B17" s="15"/>
      <c r="C17" s="15"/>
      <c r="D17" s="15"/>
      <c r="F17" s="22"/>
      <c r="H17" s="15"/>
    </row>
    <row r="18">
      <c r="A18" s="1" t="s">
        <v>34</v>
      </c>
      <c r="B18" s="15"/>
      <c r="C18" s="15"/>
      <c r="D18" s="15"/>
      <c r="F18" s="22"/>
      <c r="H18" s="15"/>
    </row>
    <row r="19">
      <c r="F19" s="26"/>
      <c r="H19" s="15"/>
    </row>
    <row r="20">
      <c r="F20" s="26"/>
      <c r="H20" s="15"/>
    </row>
    <row r="21">
      <c r="F21" s="26"/>
      <c r="H21" s="15"/>
    </row>
    <row r="22">
      <c r="F22" s="26"/>
      <c r="H22" s="15"/>
    </row>
    <row r="23">
      <c r="F23" s="26"/>
      <c r="H23" s="15"/>
    </row>
    <row r="24">
      <c r="F24" s="26"/>
      <c r="H24" s="15"/>
    </row>
    <row r="25">
      <c r="A25" s="27" t="s">
        <v>35</v>
      </c>
      <c r="B25" s="28"/>
      <c r="C25" s="28"/>
      <c r="D25" s="28"/>
      <c r="E25" s="28"/>
      <c r="F25" s="29"/>
      <c r="G25" s="28"/>
      <c r="H25" s="30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>
      <c r="F26" s="26"/>
      <c r="H26" s="15"/>
    </row>
    <row r="27" ht="15.75" customHeight="1">
      <c r="F27" s="26"/>
      <c r="H27" s="15"/>
    </row>
    <row r="28" ht="15.75" customHeight="1">
      <c r="F28" s="26"/>
      <c r="H28" s="15"/>
    </row>
    <row r="29" ht="15.75" customHeight="1">
      <c r="F29" s="26"/>
      <c r="H29" s="15"/>
    </row>
    <row r="30" ht="15.75" customHeight="1">
      <c r="F30" s="26"/>
      <c r="H30" s="15"/>
    </row>
    <row r="31" ht="15.75" customHeight="1">
      <c r="F31" s="26"/>
      <c r="H31" s="15"/>
    </row>
    <row r="32" ht="15.75" customHeight="1">
      <c r="F32" s="26"/>
      <c r="H32" s="15"/>
    </row>
    <row r="33" ht="15.75" customHeight="1">
      <c r="F33" s="26"/>
      <c r="H33" s="15"/>
    </row>
    <row r="34" ht="15.75" customHeight="1">
      <c r="F34" s="26"/>
      <c r="H34" s="15"/>
    </row>
    <row r="35" ht="15.75" customHeight="1">
      <c r="F35" s="26"/>
      <c r="H35" s="15"/>
    </row>
    <row r="36" ht="15.75" customHeight="1">
      <c r="F36" s="26"/>
      <c r="H36" s="15"/>
    </row>
    <row r="37" ht="15.75" customHeight="1">
      <c r="F37" s="26"/>
      <c r="H37" s="15"/>
    </row>
    <row r="38" ht="15.75" customHeight="1">
      <c r="F38" s="26"/>
      <c r="H38" s="15"/>
    </row>
    <row r="39" ht="15.75" customHeight="1">
      <c r="F39" s="26"/>
      <c r="H39" s="15"/>
    </row>
    <row r="40" ht="15.75" customHeight="1">
      <c r="F40" s="26"/>
      <c r="H40" s="15"/>
    </row>
    <row r="41" ht="15.75" customHeight="1">
      <c r="F41" s="26"/>
      <c r="H41" s="15"/>
    </row>
    <row r="42" ht="15.75" customHeight="1">
      <c r="F42" s="26"/>
      <c r="H42" s="15"/>
    </row>
    <row r="43" ht="15.75" customHeight="1">
      <c r="F43" s="26"/>
      <c r="H43" s="15"/>
    </row>
    <row r="44" ht="15.75" customHeight="1">
      <c r="F44" s="26"/>
      <c r="H44" s="15"/>
    </row>
    <row r="45" ht="15.75" customHeight="1">
      <c r="F45" s="26"/>
      <c r="H45" s="15"/>
    </row>
    <row r="46" ht="15.75" customHeight="1">
      <c r="F46" s="26"/>
      <c r="H46" s="15"/>
    </row>
    <row r="47" ht="15.75" customHeight="1">
      <c r="F47" s="26"/>
      <c r="H47" s="15"/>
    </row>
    <row r="48" ht="15.75" customHeight="1">
      <c r="F48" s="26"/>
      <c r="H48" s="15"/>
    </row>
    <row r="49" ht="15.75" customHeight="1">
      <c r="F49" s="26"/>
      <c r="H49" s="15"/>
    </row>
    <row r="50" ht="15.75" customHeight="1">
      <c r="F50" s="26"/>
      <c r="H50" s="15"/>
    </row>
    <row r="51" ht="15.75" customHeight="1">
      <c r="F51" s="26"/>
      <c r="H51" s="15"/>
    </row>
    <row r="52" ht="15.75" customHeight="1">
      <c r="F52" s="26"/>
      <c r="H52" s="15"/>
    </row>
    <row r="53" ht="15.75" customHeight="1">
      <c r="F53" s="26"/>
      <c r="H53" s="15"/>
    </row>
    <row r="54" ht="15.75" customHeight="1">
      <c r="F54" s="26"/>
      <c r="H54" s="15"/>
    </row>
    <row r="55" ht="15.75" customHeight="1">
      <c r="F55" s="26"/>
      <c r="H55" s="15"/>
    </row>
    <row r="56" ht="15.75" customHeight="1">
      <c r="F56" s="26"/>
      <c r="H56" s="15"/>
    </row>
    <row r="57" ht="15.75" customHeight="1">
      <c r="F57" s="26"/>
      <c r="H57" s="15"/>
    </row>
    <row r="58" ht="15.75" customHeight="1">
      <c r="F58" s="26"/>
      <c r="H58" s="15"/>
    </row>
    <row r="59" ht="15.75" customHeight="1">
      <c r="F59" s="26"/>
      <c r="H59" s="15"/>
    </row>
    <row r="60" ht="15.75" customHeight="1">
      <c r="F60" s="26"/>
      <c r="H60" s="15"/>
    </row>
    <row r="61" ht="15.75" customHeight="1">
      <c r="F61" s="26"/>
      <c r="H61" s="15"/>
    </row>
    <row r="62" ht="15.75" customHeight="1">
      <c r="F62" s="26"/>
      <c r="H62" s="15"/>
    </row>
    <row r="63" ht="15.75" customHeight="1">
      <c r="F63" s="26"/>
      <c r="H63" s="15"/>
    </row>
    <row r="64" ht="15.75" customHeight="1">
      <c r="F64" s="26"/>
      <c r="H64" s="15"/>
    </row>
    <row r="65" ht="15.75" customHeight="1">
      <c r="F65" s="26"/>
      <c r="H65" s="15"/>
    </row>
    <row r="66" ht="15.75" customHeight="1">
      <c r="F66" s="26"/>
      <c r="H66" s="15"/>
    </row>
    <row r="67" ht="15.75" customHeight="1">
      <c r="F67" s="26"/>
      <c r="H67" s="15"/>
    </row>
    <row r="68" ht="15.75" customHeight="1">
      <c r="F68" s="26"/>
      <c r="H68" s="15"/>
    </row>
    <row r="69" ht="15.75" customHeight="1">
      <c r="F69" s="26"/>
      <c r="H69" s="15"/>
    </row>
    <row r="70" ht="15.75" customHeight="1">
      <c r="F70" s="26"/>
      <c r="H70" s="15"/>
    </row>
    <row r="71" ht="15.75" customHeight="1">
      <c r="F71" s="26"/>
      <c r="H71" s="15"/>
    </row>
    <row r="72" ht="15.75" customHeight="1">
      <c r="F72" s="26"/>
      <c r="H72" s="15"/>
    </row>
    <row r="73" ht="15.75" customHeight="1">
      <c r="F73" s="26"/>
      <c r="H73" s="15"/>
    </row>
    <row r="74" ht="15.75" customHeight="1">
      <c r="F74" s="26"/>
      <c r="H74" s="15"/>
    </row>
    <row r="75" ht="15.75" customHeight="1">
      <c r="F75" s="26"/>
      <c r="H75" s="15"/>
    </row>
    <row r="76" ht="15.75" customHeight="1">
      <c r="F76" s="26"/>
      <c r="H76" s="15"/>
    </row>
    <row r="77" ht="15.75" customHeight="1">
      <c r="F77" s="26"/>
      <c r="H77" s="15"/>
    </row>
    <row r="78" ht="15.75" customHeight="1">
      <c r="F78" s="26"/>
      <c r="H78" s="15"/>
    </row>
    <row r="79" ht="15.75" customHeight="1">
      <c r="F79" s="26"/>
      <c r="H79" s="15"/>
    </row>
    <row r="80" ht="15.75" customHeight="1">
      <c r="F80" s="26"/>
      <c r="H80" s="15"/>
    </row>
    <row r="81" ht="15.75" customHeight="1">
      <c r="F81" s="26"/>
      <c r="H81" s="15"/>
    </row>
    <row r="82" ht="15.75" customHeight="1">
      <c r="F82" s="26"/>
      <c r="H82" s="15"/>
    </row>
    <row r="83" ht="15.75" customHeight="1">
      <c r="F83" s="26"/>
      <c r="H83" s="15"/>
    </row>
    <row r="84" ht="15.75" customHeight="1">
      <c r="F84" s="26"/>
      <c r="H84" s="15"/>
    </row>
    <row r="85" ht="15.75" customHeight="1">
      <c r="F85" s="26"/>
      <c r="H85" s="15"/>
    </row>
    <row r="86" ht="15.75" customHeight="1">
      <c r="F86" s="26"/>
      <c r="H86" s="15"/>
    </row>
    <row r="87" ht="15.75" customHeight="1">
      <c r="F87" s="26"/>
      <c r="H87" s="15"/>
    </row>
    <row r="88" ht="15.75" customHeight="1">
      <c r="F88" s="26"/>
      <c r="H88" s="15"/>
    </row>
    <row r="89" ht="15.75" customHeight="1">
      <c r="F89" s="26"/>
      <c r="H89" s="15"/>
    </row>
    <row r="90" ht="15.75" customHeight="1">
      <c r="F90" s="26"/>
      <c r="H90" s="15"/>
    </row>
    <row r="91" ht="15.75" customHeight="1">
      <c r="F91" s="26"/>
      <c r="H91" s="15"/>
    </row>
    <row r="92" ht="15.75" customHeight="1">
      <c r="F92" s="26"/>
      <c r="H92" s="15"/>
    </row>
    <row r="93" ht="15.75" customHeight="1">
      <c r="F93" s="26"/>
      <c r="H93" s="15"/>
    </row>
    <row r="94" ht="15.75" customHeight="1">
      <c r="F94" s="26"/>
      <c r="H94" s="15"/>
    </row>
    <row r="95" ht="15.75" customHeight="1">
      <c r="F95" s="26"/>
      <c r="H95" s="15"/>
    </row>
    <row r="96" ht="15.75" customHeight="1">
      <c r="F96" s="26"/>
      <c r="H96" s="15"/>
    </row>
    <row r="97" ht="15.75" customHeight="1">
      <c r="F97" s="26"/>
      <c r="H97" s="15"/>
    </row>
    <row r="98" ht="15.75" customHeight="1">
      <c r="F98" s="26"/>
      <c r="H98" s="15"/>
    </row>
    <row r="99" ht="15.75" customHeight="1">
      <c r="F99" s="26"/>
      <c r="H99" s="15"/>
    </row>
    <row r="100" ht="15.75" customHeight="1">
      <c r="F100" s="26"/>
      <c r="H100" s="15"/>
    </row>
    <row r="101" ht="15.75" customHeight="1">
      <c r="F101" s="26"/>
      <c r="H101" s="15"/>
    </row>
    <row r="102" ht="15.75" customHeight="1">
      <c r="F102" s="26"/>
      <c r="H102" s="15"/>
    </row>
    <row r="103" ht="15.75" customHeight="1">
      <c r="F103" s="26"/>
      <c r="H103" s="15"/>
    </row>
    <row r="104" ht="15.75" customHeight="1">
      <c r="F104" s="26"/>
      <c r="H104" s="15"/>
    </row>
    <row r="105" ht="15.75" customHeight="1">
      <c r="F105" s="26"/>
      <c r="H105" s="15"/>
    </row>
    <row r="106" ht="15.75" customHeight="1">
      <c r="F106" s="26"/>
      <c r="H106" s="15"/>
    </row>
    <row r="107" ht="15.75" customHeight="1">
      <c r="F107" s="26"/>
      <c r="H107" s="15"/>
    </row>
    <row r="108" ht="15.75" customHeight="1">
      <c r="F108" s="26"/>
      <c r="H108" s="15"/>
    </row>
    <row r="109" ht="15.75" customHeight="1">
      <c r="F109" s="26"/>
      <c r="H109" s="15"/>
    </row>
    <row r="110" ht="15.75" customHeight="1">
      <c r="F110" s="26"/>
      <c r="H110" s="15"/>
    </row>
    <row r="111" ht="15.75" customHeight="1">
      <c r="F111" s="26"/>
      <c r="H111" s="15"/>
    </row>
    <row r="112" ht="15.75" customHeight="1">
      <c r="F112" s="26"/>
      <c r="H112" s="15"/>
    </row>
    <row r="113" ht="15.75" customHeight="1">
      <c r="F113" s="26"/>
      <c r="H113" s="15"/>
    </row>
    <row r="114" ht="15.75" customHeight="1">
      <c r="F114" s="26"/>
      <c r="H114" s="15"/>
    </row>
    <row r="115" ht="15.75" customHeight="1">
      <c r="F115" s="26"/>
      <c r="H115" s="15"/>
    </row>
    <row r="116" ht="15.75" customHeight="1">
      <c r="F116" s="26"/>
      <c r="H116" s="15"/>
    </row>
    <row r="117" ht="15.75" customHeight="1">
      <c r="F117" s="26"/>
      <c r="H117" s="15"/>
    </row>
    <row r="118" ht="15.75" customHeight="1">
      <c r="F118" s="26"/>
      <c r="H118" s="15"/>
    </row>
    <row r="119" ht="15.75" customHeight="1">
      <c r="F119" s="26"/>
      <c r="H119" s="15"/>
    </row>
    <row r="120" ht="15.75" customHeight="1">
      <c r="F120" s="26"/>
      <c r="H120" s="15"/>
    </row>
    <row r="121" ht="15.75" customHeight="1">
      <c r="F121" s="26"/>
      <c r="H121" s="15"/>
    </row>
    <row r="122" ht="15.75" customHeight="1">
      <c r="F122" s="26"/>
      <c r="H122" s="15"/>
    </row>
    <row r="123" ht="15.75" customHeight="1">
      <c r="F123" s="26"/>
      <c r="H123" s="15"/>
    </row>
    <row r="124" ht="15.75" customHeight="1">
      <c r="F124" s="26"/>
      <c r="H124" s="15"/>
    </row>
    <row r="125" ht="15.75" customHeight="1">
      <c r="F125" s="26"/>
      <c r="H125" s="15"/>
    </row>
    <row r="126" ht="15.75" customHeight="1">
      <c r="F126" s="26"/>
      <c r="H126" s="15"/>
    </row>
    <row r="127" ht="15.75" customHeight="1">
      <c r="F127" s="26"/>
      <c r="H127" s="15"/>
    </row>
    <row r="128" ht="15.75" customHeight="1">
      <c r="F128" s="26"/>
      <c r="H128" s="15"/>
    </row>
    <row r="129" ht="15.75" customHeight="1">
      <c r="F129" s="26"/>
      <c r="H129" s="15"/>
    </row>
    <row r="130" ht="15.75" customHeight="1">
      <c r="F130" s="26"/>
      <c r="H130" s="15"/>
    </row>
    <row r="131" ht="15.75" customHeight="1">
      <c r="F131" s="26"/>
      <c r="H131" s="15"/>
    </row>
    <row r="132" ht="15.75" customHeight="1">
      <c r="F132" s="26"/>
      <c r="H132" s="15"/>
    </row>
    <row r="133" ht="15.75" customHeight="1">
      <c r="F133" s="26"/>
      <c r="H133" s="15"/>
    </row>
    <row r="134" ht="15.75" customHeight="1">
      <c r="F134" s="26"/>
      <c r="H134" s="15"/>
    </row>
    <row r="135" ht="15.75" customHeight="1">
      <c r="F135" s="26"/>
      <c r="H135" s="15"/>
    </row>
    <row r="136" ht="15.75" customHeight="1">
      <c r="F136" s="26"/>
      <c r="H136" s="15"/>
    </row>
    <row r="137" ht="15.75" customHeight="1">
      <c r="F137" s="26"/>
      <c r="H137" s="15"/>
    </row>
    <row r="138" ht="15.75" customHeight="1">
      <c r="F138" s="26"/>
      <c r="H138" s="15"/>
    </row>
    <row r="139" ht="15.75" customHeight="1">
      <c r="F139" s="26"/>
      <c r="H139" s="15"/>
    </row>
    <row r="140" ht="15.75" customHeight="1">
      <c r="F140" s="26"/>
      <c r="H140" s="15"/>
    </row>
    <row r="141" ht="15.75" customHeight="1">
      <c r="F141" s="26"/>
      <c r="H141" s="15"/>
    </row>
    <row r="142" ht="15.75" customHeight="1">
      <c r="F142" s="26"/>
      <c r="H142" s="15"/>
    </row>
    <row r="143" ht="15.75" customHeight="1">
      <c r="F143" s="26"/>
      <c r="H143" s="15"/>
    </row>
    <row r="144" ht="15.75" customHeight="1">
      <c r="F144" s="26"/>
      <c r="H144" s="15"/>
    </row>
    <row r="145" ht="15.75" customHeight="1">
      <c r="F145" s="26"/>
      <c r="H145" s="15"/>
    </row>
    <row r="146" ht="15.75" customHeight="1">
      <c r="F146" s="26"/>
      <c r="H146" s="15"/>
    </row>
    <row r="147" ht="15.75" customHeight="1">
      <c r="F147" s="26"/>
      <c r="H147" s="15"/>
    </row>
    <row r="148" ht="15.75" customHeight="1">
      <c r="F148" s="26"/>
      <c r="H148" s="15"/>
    </row>
    <row r="149" ht="15.75" customHeight="1">
      <c r="F149" s="26"/>
      <c r="H149" s="15"/>
    </row>
    <row r="150" ht="15.75" customHeight="1">
      <c r="F150" s="26"/>
      <c r="H150" s="15"/>
    </row>
    <row r="151" ht="15.75" customHeight="1">
      <c r="F151" s="26"/>
      <c r="H151" s="15"/>
    </row>
    <row r="152" ht="15.75" customHeight="1">
      <c r="F152" s="26"/>
      <c r="H152" s="15"/>
    </row>
    <row r="153" ht="15.75" customHeight="1">
      <c r="F153" s="26"/>
      <c r="H153" s="15"/>
    </row>
    <row r="154" ht="15.75" customHeight="1">
      <c r="F154" s="26"/>
      <c r="H154" s="15"/>
    </row>
    <row r="155" ht="15.75" customHeight="1">
      <c r="F155" s="26"/>
      <c r="H155" s="15"/>
    </row>
    <row r="156" ht="15.75" customHeight="1">
      <c r="F156" s="26"/>
      <c r="H156" s="15"/>
    </row>
    <row r="157" ht="15.75" customHeight="1">
      <c r="F157" s="26"/>
      <c r="H157" s="15"/>
    </row>
    <row r="158" ht="15.75" customHeight="1">
      <c r="F158" s="26"/>
      <c r="H158" s="15"/>
    </row>
    <row r="159" ht="15.75" customHeight="1">
      <c r="F159" s="26"/>
      <c r="H159" s="15"/>
    </row>
    <row r="160" ht="15.75" customHeight="1">
      <c r="F160" s="26"/>
      <c r="H160" s="15"/>
    </row>
    <row r="161" ht="15.75" customHeight="1">
      <c r="F161" s="26"/>
      <c r="H161" s="15"/>
    </row>
    <row r="162" ht="15.75" customHeight="1">
      <c r="F162" s="26"/>
      <c r="H162" s="15"/>
    </row>
    <row r="163" ht="15.75" customHeight="1">
      <c r="F163" s="26"/>
      <c r="H163" s="15"/>
    </row>
    <row r="164" ht="15.75" customHeight="1">
      <c r="F164" s="26"/>
      <c r="H164" s="15"/>
    </row>
    <row r="165" ht="15.75" customHeight="1">
      <c r="F165" s="26"/>
      <c r="H165" s="15"/>
    </row>
    <row r="166" ht="15.75" customHeight="1">
      <c r="F166" s="26"/>
      <c r="H166" s="15"/>
    </row>
    <row r="167" ht="15.75" customHeight="1">
      <c r="F167" s="26"/>
      <c r="H167" s="15"/>
    </row>
    <row r="168" ht="15.75" customHeight="1">
      <c r="F168" s="26"/>
      <c r="H168" s="15"/>
    </row>
    <row r="169" ht="15.75" customHeight="1">
      <c r="F169" s="26"/>
      <c r="H169" s="15"/>
    </row>
    <row r="170" ht="15.75" customHeight="1">
      <c r="F170" s="26"/>
      <c r="H170" s="15"/>
    </row>
    <row r="171" ht="15.75" customHeight="1">
      <c r="F171" s="26"/>
      <c r="H171" s="15"/>
    </row>
    <row r="172" ht="15.75" customHeight="1">
      <c r="F172" s="26"/>
      <c r="H172" s="15"/>
    </row>
    <row r="173" ht="15.75" customHeight="1">
      <c r="F173" s="26"/>
      <c r="H173" s="15"/>
    </row>
    <row r="174" ht="15.75" customHeight="1">
      <c r="F174" s="26"/>
      <c r="H174" s="15"/>
    </row>
    <row r="175" ht="15.75" customHeight="1">
      <c r="F175" s="26"/>
      <c r="H175" s="15"/>
    </row>
    <row r="176" ht="15.75" customHeight="1">
      <c r="F176" s="26"/>
      <c r="H176" s="15"/>
    </row>
    <row r="177" ht="15.75" customHeight="1">
      <c r="F177" s="26"/>
      <c r="H177" s="15"/>
    </row>
    <row r="178" ht="15.75" customHeight="1">
      <c r="F178" s="26"/>
      <c r="H178" s="15"/>
    </row>
    <row r="179" ht="15.75" customHeight="1">
      <c r="F179" s="26"/>
      <c r="H179" s="15"/>
    </row>
    <row r="180" ht="15.75" customHeight="1">
      <c r="F180" s="26"/>
      <c r="H180" s="15"/>
    </row>
    <row r="181" ht="15.75" customHeight="1">
      <c r="F181" s="26"/>
      <c r="H181" s="15"/>
    </row>
    <row r="182" ht="15.75" customHeight="1">
      <c r="F182" s="26"/>
      <c r="H182" s="15"/>
    </row>
    <row r="183" ht="15.75" customHeight="1">
      <c r="F183" s="26"/>
      <c r="H183" s="15"/>
    </row>
    <row r="184" ht="15.75" customHeight="1">
      <c r="F184" s="26"/>
      <c r="H184" s="15"/>
    </row>
    <row r="185" ht="15.75" customHeight="1">
      <c r="F185" s="26"/>
      <c r="H185" s="15"/>
    </row>
    <row r="186" ht="15.75" customHeight="1">
      <c r="F186" s="26"/>
      <c r="H186" s="15"/>
    </row>
    <row r="187" ht="15.75" customHeight="1">
      <c r="F187" s="26"/>
      <c r="H187" s="15"/>
    </row>
    <row r="188" ht="15.75" customHeight="1">
      <c r="F188" s="26"/>
      <c r="H188" s="15"/>
    </row>
    <row r="189" ht="15.75" customHeight="1">
      <c r="F189" s="26"/>
      <c r="H189" s="15"/>
    </row>
    <row r="190" ht="15.75" customHeight="1">
      <c r="F190" s="26"/>
      <c r="H190" s="15"/>
    </row>
    <row r="191" ht="15.75" customHeight="1">
      <c r="F191" s="26"/>
      <c r="H191" s="15"/>
    </row>
    <row r="192" ht="15.75" customHeight="1">
      <c r="F192" s="26"/>
      <c r="H192" s="15"/>
    </row>
    <row r="193" ht="15.75" customHeight="1">
      <c r="F193" s="26"/>
      <c r="H193" s="15"/>
    </row>
    <row r="194" ht="15.75" customHeight="1">
      <c r="F194" s="26"/>
      <c r="H194" s="15"/>
    </row>
    <row r="195" ht="15.75" customHeight="1">
      <c r="F195" s="26"/>
      <c r="H195" s="15"/>
    </row>
    <row r="196" ht="15.75" customHeight="1">
      <c r="F196" s="26"/>
      <c r="H196" s="15"/>
    </row>
    <row r="197" ht="15.75" customHeight="1">
      <c r="F197" s="26"/>
      <c r="H197" s="15"/>
    </row>
    <row r="198" ht="15.75" customHeight="1">
      <c r="F198" s="26"/>
      <c r="H198" s="15"/>
    </row>
    <row r="199" ht="15.75" customHeight="1">
      <c r="F199" s="26"/>
      <c r="H199" s="15"/>
    </row>
    <row r="200" ht="15.75" customHeight="1">
      <c r="F200" s="26"/>
      <c r="H200" s="15"/>
    </row>
    <row r="201" ht="15.75" customHeight="1">
      <c r="F201" s="26"/>
      <c r="H201" s="15"/>
    </row>
    <row r="202" ht="15.75" customHeight="1">
      <c r="F202" s="26"/>
      <c r="H202" s="15"/>
    </row>
    <row r="203" ht="15.75" customHeight="1">
      <c r="F203" s="26"/>
      <c r="H203" s="15"/>
    </row>
    <row r="204" ht="15.75" customHeight="1">
      <c r="F204" s="26"/>
      <c r="H204" s="15"/>
    </row>
    <row r="205" ht="15.75" customHeight="1">
      <c r="F205" s="26"/>
      <c r="H205" s="15"/>
    </row>
    <row r="206" ht="15.75" customHeight="1">
      <c r="F206" s="26"/>
      <c r="H206" s="15"/>
    </row>
    <row r="207" ht="15.75" customHeight="1">
      <c r="F207" s="26"/>
      <c r="H207" s="15"/>
    </row>
    <row r="208" ht="15.75" customHeight="1">
      <c r="F208" s="26"/>
      <c r="H208" s="15"/>
    </row>
    <row r="209" ht="15.75" customHeight="1">
      <c r="F209" s="26"/>
      <c r="H209" s="15"/>
    </row>
    <row r="210" ht="15.75" customHeight="1">
      <c r="F210" s="26"/>
      <c r="H210" s="15"/>
    </row>
    <row r="211" ht="15.75" customHeight="1">
      <c r="F211" s="26"/>
      <c r="H211" s="15"/>
    </row>
    <row r="212" ht="15.75" customHeight="1">
      <c r="F212" s="26"/>
      <c r="H212" s="15"/>
    </row>
    <row r="213" ht="15.75" customHeight="1">
      <c r="F213" s="26"/>
      <c r="H213" s="15"/>
    </row>
    <row r="214" ht="15.75" customHeight="1">
      <c r="F214" s="26"/>
      <c r="H214" s="15"/>
    </row>
    <row r="215" ht="15.75" customHeight="1">
      <c r="F215" s="26"/>
      <c r="H215" s="15"/>
    </row>
    <row r="216" ht="15.75" customHeight="1">
      <c r="F216" s="26"/>
      <c r="H216" s="15"/>
    </row>
    <row r="217" ht="15.75" customHeight="1">
      <c r="F217" s="26"/>
      <c r="H217" s="15"/>
    </row>
    <row r="218" ht="15.75" customHeight="1">
      <c r="F218" s="26"/>
      <c r="H218" s="15"/>
    </row>
    <row r="219" ht="15.75" customHeight="1">
      <c r="F219" s="26"/>
      <c r="H219" s="15"/>
    </row>
    <row r="220" ht="15.75" customHeight="1">
      <c r="F220" s="26"/>
      <c r="H220" s="15"/>
    </row>
    <row r="221" ht="15.75" customHeight="1">
      <c r="F221" s="26"/>
      <c r="H221" s="15"/>
    </row>
    <row r="222" ht="15.75" customHeight="1">
      <c r="F222" s="26"/>
      <c r="H222" s="15"/>
    </row>
    <row r="223" ht="15.75" customHeight="1">
      <c r="F223" s="26"/>
      <c r="H223" s="15"/>
    </row>
    <row r="224" ht="15.75" customHeight="1">
      <c r="F224" s="26"/>
      <c r="H224" s="15"/>
    </row>
    <row r="225" ht="15.75" customHeight="1">
      <c r="F225" s="26"/>
      <c r="H225" s="15"/>
    </row>
    <row r="226" ht="15.75" customHeight="1">
      <c r="F226" s="26"/>
      <c r="H226" s="15"/>
    </row>
    <row r="227" ht="15.75" customHeight="1">
      <c r="F227" s="26"/>
      <c r="H227" s="15"/>
    </row>
    <row r="228" ht="15.75" customHeight="1">
      <c r="F228" s="26"/>
      <c r="H228" s="15"/>
    </row>
    <row r="229" ht="15.75" customHeight="1">
      <c r="F229" s="26"/>
      <c r="H229" s="15"/>
    </row>
    <row r="230" ht="15.75" customHeight="1">
      <c r="F230" s="26"/>
      <c r="H230" s="15"/>
    </row>
    <row r="231" ht="15.75" customHeight="1">
      <c r="F231" s="26"/>
      <c r="H231" s="15"/>
    </row>
    <row r="232" ht="15.75" customHeight="1">
      <c r="F232" s="26"/>
      <c r="H232" s="15"/>
    </row>
    <row r="233" ht="15.75" customHeight="1">
      <c r="F233" s="26"/>
      <c r="H233" s="15"/>
    </row>
    <row r="234" ht="15.75" customHeight="1">
      <c r="F234" s="26"/>
      <c r="H234" s="15"/>
    </row>
    <row r="235" ht="15.75" customHeight="1">
      <c r="F235" s="26"/>
      <c r="H235" s="15"/>
    </row>
    <row r="236" ht="15.75" customHeight="1">
      <c r="F236" s="26"/>
      <c r="H236" s="15"/>
    </row>
    <row r="237" ht="15.75" customHeight="1">
      <c r="F237" s="26"/>
      <c r="H237" s="15"/>
    </row>
    <row r="238" ht="15.75" customHeight="1">
      <c r="F238" s="26"/>
      <c r="H238" s="15"/>
    </row>
    <row r="239" ht="15.75" customHeight="1">
      <c r="F239" s="26"/>
      <c r="H239" s="15"/>
    </row>
    <row r="240" ht="15.75" customHeight="1">
      <c r="F240" s="26"/>
      <c r="H240" s="15"/>
    </row>
    <row r="241" ht="15.75" customHeight="1">
      <c r="F241" s="26"/>
      <c r="H241" s="15"/>
    </row>
    <row r="242" ht="15.75" customHeight="1">
      <c r="F242" s="26"/>
      <c r="H242" s="15"/>
    </row>
    <row r="243" ht="15.75" customHeight="1">
      <c r="F243" s="26"/>
      <c r="H243" s="15"/>
    </row>
    <row r="244" ht="15.75" customHeight="1">
      <c r="F244" s="26"/>
      <c r="H244" s="15"/>
    </row>
    <row r="245" ht="15.75" customHeight="1">
      <c r="F245" s="26"/>
      <c r="H245" s="15"/>
    </row>
    <row r="246" ht="15.75" customHeight="1">
      <c r="F246" s="26"/>
      <c r="H246" s="15"/>
    </row>
    <row r="247" ht="15.75" customHeight="1">
      <c r="F247" s="26"/>
      <c r="H247" s="15"/>
    </row>
    <row r="248" ht="15.75" customHeight="1">
      <c r="F248" s="26"/>
      <c r="H248" s="15"/>
    </row>
    <row r="249" ht="15.75" customHeight="1">
      <c r="F249" s="26"/>
      <c r="H249" s="15"/>
    </row>
    <row r="250" ht="15.75" customHeight="1">
      <c r="F250" s="26"/>
      <c r="H250" s="15"/>
    </row>
    <row r="251" ht="15.75" customHeight="1">
      <c r="F251" s="26"/>
      <c r="H251" s="15"/>
    </row>
    <row r="252" ht="15.75" customHeight="1">
      <c r="F252" s="26"/>
      <c r="H252" s="15"/>
    </row>
    <row r="253" ht="15.75" customHeight="1">
      <c r="F253" s="26"/>
      <c r="H253" s="15"/>
    </row>
    <row r="254" ht="15.75" customHeight="1">
      <c r="F254" s="26"/>
      <c r="H254" s="15"/>
    </row>
    <row r="255" ht="15.75" customHeight="1">
      <c r="F255" s="26"/>
      <c r="H255" s="15"/>
    </row>
    <row r="256" ht="15.75" customHeight="1">
      <c r="F256" s="26"/>
      <c r="H256" s="15"/>
    </row>
    <row r="257" ht="15.75" customHeight="1">
      <c r="F257" s="26"/>
      <c r="H257" s="15"/>
    </row>
    <row r="258" ht="15.75" customHeight="1">
      <c r="F258" s="26"/>
      <c r="H258" s="15"/>
    </row>
    <row r="259" ht="15.75" customHeight="1">
      <c r="F259" s="26"/>
      <c r="H259" s="15"/>
    </row>
    <row r="260" ht="15.75" customHeight="1">
      <c r="F260" s="26"/>
      <c r="H260" s="15"/>
    </row>
    <row r="261" ht="15.75" customHeight="1">
      <c r="F261" s="26"/>
      <c r="H261" s="15"/>
    </row>
    <row r="262" ht="15.75" customHeight="1">
      <c r="F262" s="26"/>
      <c r="H262" s="15"/>
    </row>
    <row r="263" ht="15.75" customHeight="1">
      <c r="F263" s="26"/>
      <c r="H263" s="15"/>
    </row>
    <row r="264" ht="15.75" customHeight="1">
      <c r="F264" s="26"/>
      <c r="H264" s="15"/>
    </row>
    <row r="265" ht="15.75" customHeight="1">
      <c r="F265" s="26"/>
      <c r="H265" s="15"/>
    </row>
    <row r="266" ht="15.75" customHeight="1">
      <c r="F266" s="26"/>
      <c r="H266" s="15"/>
    </row>
    <row r="267" ht="15.75" customHeight="1">
      <c r="F267" s="26"/>
      <c r="H267" s="15"/>
    </row>
    <row r="268" ht="15.75" customHeight="1">
      <c r="F268" s="26"/>
      <c r="H268" s="15"/>
    </row>
    <row r="269" ht="15.75" customHeight="1">
      <c r="F269" s="26"/>
      <c r="H269" s="15"/>
    </row>
    <row r="270" ht="15.75" customHeight="1">
      <c r="F270" s="26"/>
      <c r="H270" s="15"/>
    </row>
    <row r="271" ht="15.75" customHeight="1">
      <c r="F271" s="26"/>
      <c r="H271" s="15"/>
    </row>
    <row r="272" ht="15.75" customHeight="1">
      <c r="F272" s="26"/>
      <c r="H272" s="15"/>
    </row>
    <row r="273" ht="15.75" customHeight="1">
      <c r="F273" s="26"/>
      <c r="H273" s="15"/>
    </row>
    <row r="274" ht="15.75" customHeight="1">
      <c r="F274" s="26"/>
      <c r="H274" s="15"/>
    </row>
    <row r="275" ht="15.75" customHeight="1">
      <c r="F275" s="26"/>
      <c r="H275" s="15"/>
    </row>
    <row r="276" ht="15.75" customHeight="1">
      <c r="F276" s="26"/>
      <c r="H276" s="15"/>
    </row>
    <row r="277" ht="15.75" customHeight="1">
      <c r="F277" s="26"/>
      <c r="H277" s="15"/>
    </row>
    <row r="278" ht="15.75" customHeight="1">
      <c r="F278" s="26"/>
      <c r="H278" s="15"/>
    </row>
    <row r="279" ht="15.75" customHeight="1">
      <c r="F279" s="26"/>
      <c r="H279" s="15"/>
    </row>
    <row r="280" ht="15.75" customHeight="1">
      <c r="F280" s="26"/>
      <c r="H280" s="15"/>
    </row>
    <row r="281" ht="15.75" customHeight="1">
      <c r="F281" s="26"/>
      <c r="H281" s="15"/>
    </row>
    <row r="282" ht="15.75" customHeight="1">
      <c r="F282" s="26"/>
      <c r="H282" s="15"/>
    </row>
    <row r="283" ht="15.75" customHeight="1">
      <c r="F283" s="26"/>
      <c r="H283" s="15"/>
    </row>
    <row r="284" ht="15.75" customHeight="1">
      <c r="F284" s="26"/>
      <c r="H284" s="15"/>
    </row>
    <row r="285" ht="15.75" customHeight="1">
      <c r="F285" s="26"/>
      <c r="H285" s="15"/>
    </row>
    <row r="286" ht="15.75" customHeight="1">
      <c r="F286" s="26"/>
      <c r="H286" s="15"/>
    </row>
    <row r="287" ht="15.75" customHeight="1">
      <c r="F287" s="26"/>
      <c r="H287" s="15"/>
    </row>
    <row r="288" ht="15.75" customHeight="1">
      <c r="F288" s="26"/>
      <c r="H288" s="15"/>
    </row>
    <row r="289" ht="15.75" customHeight="1">
      <c r="F289" s="26"/>
      <c r="H289" s="15"/>
    </row>
    <row r="290" ht="15.75" customHeight="1">
      <c r="F290" s="26"/>
      <c r="H290" s="15"/>
    </row>
    <row r="291" ht="15.75" customHeight="1">
      <c r="F291" s="26"/>
      <c r="H291" s="15"/>
    </row>
    <row r="292" ht="15.75" customHeight="1">
      <c r="F292" s="26"/>
      <c r="H292" s="15"/>
    </row>
    <row r="293" ht="15.75" customHeight="1">
      <c r="F293" s="26"/>
      <c r="H293" s="15"/>
    </row>
    <row r="294" ht="15.75" customHeight="1">
      <c r="F294" s="26"/>
      <c r="H294" s="15"/>
    </row>
    <row r="295" ht="15.75" customHeight="1">
      <c r="F295" s="26"/>
      <c r="H295" s="15"/>
    </row>
    <row r="296" ht="15.75" customHeight="1">
      <c r="F296" s="26"/>
      <c r="H296" s="15"/>
    </row>
    <row r="297" ht="15.75" customHeight="1">
      <c r="F297" s="26"/>
      <c r="H297" s="15"/>
    </row>
    <row r="298" ht="15.75" customHeight="1">
      <c r="F298" s="26"/>
      <c r="H298" s="15"/>
    </row>
    <row r="299" ht="15.75" customHeight="1">
      <c r="F299" s="26"/>
      <c r="H299" s="15"/>
    </row>
    <row r="300" ht="15.75" customHeight="1">
      <c r="F300" s="26"/>
      <c r="H300" s="15"/>
    </row>
    <row r="301" ht="15.75" customHeight="1">
      <c r="F301" s="26"/>
      <c r="H301" s="15"/>
    </row>
    <row r="302" ht="15.75" customHeight="1">
      <c r="F302" s="26"/>
      <c r="H302" s="15"/>
    </row>
    <row r="303" ht="15.75" customHeight="1">
      <c r="F303" s="26"/>
      <c r="H303" s="15"/>
    </row>
    <row r="304" ht="15.75" customHeight="1">
      <c r="F304" s="26"/>
      <c r="H304" s="15"/>
    </row>
    <row r="305" ht="15.75" customHeight="1">
      <c r="F305" s="26"/>
      <c r="H305" s="15"/>
    </row>
    <row r="306" ht="15.75" customHeight="1">
      <c r="F306" s="26"/>
      <c r="H306" s="15"/>
    </row>
    <row r="307" ht="15.75" customHeight="1">
      <c r="F307" s="26"/>
      <c r="H307" s="15"/>
    </row>
    <row r="308" ht="15.75" customHeight="1">
      <c r="F308" s="26"/>
      <c r="H308" s="15"/>
    </row>
    <row r="309" ht="15.75" customHeight="1">
      <c r="F309" s="26"/>
      <c r="H309" s="15"/>
    </row>
    <row r="310" ht="15.75" customHeight="1">
      <c r="F310" s="26"/>
      <c r="H310" s="15"/>
    </row>
    <row r="311" ht="15.75" customHeight="1">
      <c r="F311" s="26"/>
      <c r="H311" s="15"/>
    </row>
    <row r="312" ht="15.75" customHeight="1">
      <c r="F312" s="26"/>
      <c r="H312" s="15"/>
    </row>
    <row r="313" ht="15.75" customHeight="1">
      <c r="F313" s="26"/>
      <c r="H313" s="15"/>
    </row>
    <row r="314" ht="15.75" customHeight="1">
      <c r="F314" s="26"/>
      <c r="H314" s="15"/>
    </row>
    <row r="315" ht="15.75" customHeight="1">
      <c r="F315" s="26"/>
      <c r="H315" s="15"/>
    </row>
    <row r="316" ht="15.75" customHeight="1">
      <c r="F316" s="26"/>
      <c r="H316" s="15"/>
    </row>
    <row r="317" ht="15.75" customHeight="1">
      <c r="F317" s="26"/>
      <c r="H317" s="15"/>
    </row>
    <row r="318" ht="15.75" customHeight="1">
      <c r="F318" s="26"/>
      <c r="H318" s="15"/>
    </row>
    <row r="319" ht="15.75" customHeight="1">
      <c r="F319" s="26"/>
      <c r="H319" s="15"/>
    </row>
    <row r="320" ht="15.75" customHeight="1">
      <c r="F320" s="26"/>
      <c r="H320" s="15"/>
    </row>
    <row r="321" ht="15.75" customHeight="1">
      <c r="F321" s="26"/>
      <c r="H321" s="15"/>
    </row>
    <row r="322" ht="15.75" customHeight="1">
      <c r="F322" s="26"/>
      <c r="H322" s="15"/>
    </row>
    <row r="323" ht="15.75" customHeight="1">
      <c r="F323" s="26"/>
      <c r="H323" s="15"/>
    </row>
    <row r="324" ht="15.75" customHeight="1">
      <c r="F324" s="26"/>
      <c r="H324" s="15"/>
    </row>
    <row r="325" ht="15.75" customHeight="1">
      <c r="F325" s="26"/>
      <c r="H325" s="15"/>
    </row>
    <row r="326" ht="15.75" customHeight="1">
      <c r="F326" s="26"/>
      <c r="H326" s="15"/>
    </row>
    <row r="327" ht="15.75" customHeight="1">
      <c r="F327" s="26"/>
      <c r="H327" s="15"/>
    </row>
    <row r="328" ht="15.75" customHeight="1">
      <c r="F328" s="26"/>
      <c r="H328" s="15"/>
    </row>
    <row r="329" ht="15.75" customHeight="1">
      <c r="F329" s="26"/>
      <c r="H329" s="15"/>
    </row>
    <row r="330" ht="15.75" customHeight="1">
      <c r="F330" s="26"/>
      <c r="H330" s="15"/>
    </row>
    <row r="331" ht="15.75" customHeight="1">
      <c r="F331" s="26"/>
      <c r="H331" s="15"/>
    </row>
    <row r="332" ht="15.75" customHeight="1">
      <c r="F332" s="26"/>
      <c r="H332" s="15"/>
    </row>
    <row r="333" ht="15.75" customHeight="1">
      <c r="F333" s="26"/>
      <c r="H333" s="15"/>
    </row>
    <row r="334" ht="15.75" customHeight="1">
      <c r="F334" s="26"/>
      <c r="H334" s="15"/>
    </row>
    <row r="335" ht="15.75" customHeight="1">
      <c r="F335" s="26"/>
      <c r="H335" s="15"/>
    </row>
    <row r="336" ht="15.75" customHeight="1">
      <c r="F336" s="26"/>
      <c r="H336" s="15"/>
    </row>
    <row r="337" ht="15.75" customHeight="1">
      <c r="F337" s="26"/>
      <c r="H337" s="15"/>
    </row>
    <row r="338" ht="15.75" customHeight="1">
      <c r="F338" s="26"/>
      <c r="H338" s="15"/>
    </row>
    <row r="339" ht="15.75" customHeight="1">
      <c r="F339" s="26"/>
      <c r="H339" s="15"/>
    </row>
    <row r="340" ht="15.75" customHeight="1">
      <c r="F340" s="26"/>
      <c r="H340" s="15"/>
    </row>
    <row r="341" ht="15.75" customHeight="1">
      <c r="F341" s="26"/>
      <c r="H341" s="15"/>
    </row>
    <row r="342" ht="15.75" customHeight="1">
      <c r="F342" s="26"/>
      <c r="H342" s="15"/>
    </row>
    <row r="343" ht="15.75" customHeight="1">
      <c r="F343" s="26"/>
      <c r="H343" s="15"/>
    </row>
    <row r="344" ht="15.75" customHeight="1">
      <c r="F344" s="26"/>
      <c r="H344" s="15"/>
    </row>
    <row r="345" ht="15.75" customHeight="1">
      <c r="F345" s="26"/>
      <c r="H345" s="15"/>
    </row>
    <row r="346" ht="15.75" customHeight="1">
      <c r="F346" s="26"/>
      <c r="H346" s="15"/>
    </row>
    <row r="347" ht="15.75" customHeight="1">
      <c r="F347" s="26"/>
      <c r="H347" s="15"/>
    </row>
    <row r="348" ht="15.75" customHeight="1">
      <c r="F348" s="26"/>
      <c r="H348" s="15"/>
    </row>
    <row r="349" ht="15.75" customHeight="1">
      <c r="F349" s="26"/>
      <c r="H349" s="15"/>
    </row>
    <row r="350" ht="15.75" customHeight="1">
      <c r="F350" s="26"/>
      <c r="H350" s="15"/>
    </row>
    <row r="351" ht="15.75" customHeight="1">
      <c r="F351" s="26"/>
      <c r="H351" s="15"/>
    </row>
    <row r="352" ht="15.75" customHeight="1">
      <c r="F352" s="26"/>
      <c r="H352" s="15"/>
    </row>
    <row r="353" ht="15.75" customHeight="1">
      <c r="F353" s="26"/>
      <c r="H353" s="15"/>
    </row>
    <row r="354" ht="15.75" customHeight="1">
      <c r="F354" s="26"/>
      <c r="H354" s="15"/>
    </row>
    <row r="355" ht="15.75" customHeight="1">
      <c r="F355" s="26"/>
      <c r="H355" s="15"/>
    </row>
    <row r="356" ht="15.75" customHeight="1">
      <c r="F356" s="26"/>
      <c r="H356" s="15"/>
    </row>
    <row r="357" ht="15.75" customHeight="1">
      <c r="F357" s="26"/>
      <c r="H357" s="15"/>
    </row>
    <row r="358" ht="15.75" customHeight="1">
      <c r="F358" s="26"/>
      <c r="H358" s="15"/>
    </row>
    <row r="359" ht="15.75" customHeight="1">
      <c r="F359" s="26"/>
      <c r="H359" s="15"/>
    </row>
    <row r="360" ht="15.75" customHeight="1">
      <c r="F360" s="26"/>
      <c r="H360" s="15"/>
    </row>
    <row r="361" ht="15.75" customHeight="1">
      <c r="F361" s="26"/>
      <c r="H361" s="15"/>
    </row>
    <row r="362" ht="15.75" customHeight="1">
      <c r="F362" s="26"/>
      <c r="H362" s="15"/>
    </row>
    <row r="363" ht="15.75" customHeight="1">
      <c r="F363" s="26"/>
      <c r="H363" s="15"/>
    </row>
    <row r="364" ht="15.75" customHeight="1">
      <c r="F364" s="26"/>
      <c r="H364" s="15"/>
    </row>
    <row r="365" ht="15.75" customHeight="1">
      <c r="F365" s="26"/>
      <c r="H365" s="15"/>
    </row>
    <row r="366" ht="15.75" customHeight="1">
      <c r="F366" s="26"/>
      <c r="H366" s="15"/>
    </row>
    <row r="367" ht="15.75" customHeight="1">
      <c r="F367" s="26"/>
      <c r="H367" s="15"/>
    </row>
    <row r="368" ht="15.75" customHeight="1">
      <c r="F368" s="26"/>
      <c r="H368" s="15"/>
    </row>
    <row r="369" ht="15.75" customHeight="1">
      <c r="F369" s="26"/>
      <c r="H369" s="15"/>
    </row>
    <row r="370" ht="15.75" customHeight="1">
      <c r="F370" s="26"/>
      <c r="H370" s="15"/>
    </row>
    <row r="371" ht="15.75" customHeight="1">
      <c r="F371" s="26"/>
      <c r="H371" s="15"/>
    </row>
    <row r="372" ht="15.75" customHeight="1">
      <c r="F372" s="26"/>
      <c r="H372" s="15"/>
    </row>
    <row r="373" ht="15.75" customHeight="1">
      <c r="F373" s="26"/>
      <c r="H373" s="15"/>
    </row>
    <row r="374" ht="15.75" customHeight="1">
      <c r="F374" s="26"/>
      <c r="H374" s="15"/>
    </row>
    <row r="375" ht="15.75" customHeight="1">
      <c r="F375" s="26"/>
      <c r="H375" s="15"/>
    </row>
    <row r="376" ht="15.75" customHeight="1">
      <c r="F376" s="26"/>
      <c r="H376" s="15"/>
    </row>
    <row r="377" ht="15.75" customHeight="1">
      <c r="F377" s="26"/>
      <c r="H377" s="15"/>
    </row>
    <row r="378" ht="15.75" customHeight="1">
      <c r="F378" s="26"/>
      <c r="H378" s="15"/>
    </row>
    <row r="379" ht="15.75" customHeight="1">
      <c r="F379" s="26"/>
      <c r="H379" s="15"/>
    </row>
    <row r="380" ht="15.75" customHeight="1">
      <c r="F380" s="26"/>
      <c r="H380" s="15"/>
    </row>
    <row r="381" ht="15.75" customHeight="1">
      <c r="F381" s="26"/>
      <c r="H381" s="15"/>
    </row>
    <row r="382" ht="15.75" customHeight="1">
      <c r="F382" s="26"/>
      <c r="H382" s="15"/>
    </row>
    <row r="383" ht="15.75" customHeight="1">
      <c r="F383" s="26"/>
      <c r="H383" s="15"/>
    </row>
    <row r="384" ht="15.75" customHeight="1">
      <c r="F384" s="26"/>
      <c r="H384" s="15"/>
    </row>
    <row r="385" ht="15.75" customHeight="1">
      <c r="F385" s="26"/>
      <c r="H385" s="15"/>
    </row>
    <row r="386" ht="15.75" customHeight="1">
      <c r="F386" s="26"/>
      <c r="H386" s="15"/>
    </row>
    <row r="387" ht="15.75" customHeight="1">
      <c r="F387" s="26"/>
      <c r="H387" s="15"/>
    </row>
    <row r="388" ht="15.75" customHeight="1">
      <c r="F388" s="26"/>
      <c r="H388" s="15"/>
    </row>
    <row r="389" ht="15.75" customHeight="1">
      <c r="F389" s="26"/>
      <c r="H389" s="15"/>
    </row>
    <row r="390" ht="15.75" customHeight="1">
      <c r="F390" s="26"/>
      <c r="H390" s="15"/>
    </row>
    <row r="391" ht="15.75" customHeight="1">
      <c r="F391" s="26"/>
      <c r="H391" s="15"/>
    </row>
    <row r="392" ht="15.75" customHeight="1">
      <c r="F392" s="26"/>
      <c r="H392" s="15"/>
    </row>
    <row r="393" ht="15.75" customHeight="1">
      <c r="F393" s="26"/>
      <c r="H393" s="15"/>
    </row>
    <row r="394" ht="15.75" customHeight="1">
      <c r="F394" s="26"/>
      <c r="H394" s="15"/>
    </row>
    <row r="395" ht="15.75" customHeight="1">
      <c r="F395" s="26"/>
      <c r="H395" s="15"/>
    </row>
    <row r="396" ht="15.75" customHeight="1">
      <c r="F396" s="26"/>
      <c r="H396" s="15"/>
    </row>
    <row r="397" ht="15.75" customHeight="1">
      <c r="F397" s="26"/>
      <c r="H397" s="15"/>
    </row>
    <row r="398" ht="15.75" customHeight="1">
      <c r="F398" s="26"/>
      <c r="H398" s="15"/>
    </row>
    <row r="399" ht="15.75" customHeight="1">
      <c r="F399" s="26"/>
      <c r="H399" s="15"/>
    </row>
    <row r="400" ht="15.75" customHeight="1">
      <c r="F400" s="26"/>
      <c r="H400" s="15"/>
    </row>
    <row r="401" ht="15.75" customHeight="1">
      <c r="F401" s="26"/>
      <c r="H401" s="15"/>
    </row>
    <row r="402" ht="15.75" customHeight="1">
      <c r="F402" s="26"/>
      <c r="H402" s="15"/>
    </row>
    <row r="403" ht="15.75" customHeight="1">
      <c r="F403" s="26"/>
      <c r="H403" s="15"/>
    </row>
    <row r="404" ht="15.75" customHeight="1">
      <c r="F404" s="26"/>
      <c r="H404" s="15"/>
    </row>
    <row r="405" ht="15.75" customHeight="1">
      <c r="F405" s="26"/>
      <c r="H405" s="15"/>
    </row>
    <row r="406" ht="15.75" customHeight="1">
      <c r="F406" s="26"/>
      <c r="H406" s="15"/>
    </row>
    <row r="407" ht="15.75" customHeight="1">
      <c r="F407" s="26"/>
      <c r="H407" s="15"/>
    </row>
    <row r="408" ht="15.75" customHeight="1">
      <c r="F408" s="26"/>
      <c r="H408" s="15"/>
    </row>
    <row r="409" ht="15.75" customHeight="1">
      <c r="F409" s="26"/>
      <c r="H409" s="15"/>
    </row>
    <row r="410" ht="15.75" customHeight="1">
      <c r="F410" s="26"/>
      <c r="H410" s="15"/>
    </row>
    <row r="411" ht="15.75" customHeight="1">
      <c r="F411" s="26"/>
      <c r="H411" s="15"/>
    </row>
    <row r="412" ht="15.75" customHeight="1">
      <c r="F412" s="26"/>
      <c r="H412" s="15"/>
    </row>
    <row r="413" ht="15.75" customHeight="1">
      <c r="F413" s="26"/>
      <c r="H413" s="15"/>
    </row>
    <row r="414" ht="15.75" customHeight="1">
      <c r="F414" s="26"/>
      <c r="H414" s="15"/>
    </row>
    <row r="415" ht="15.75" customHeight="1">
      <c r="F415" s="26"/>
      <c r="H415" s="15"/>
    </row>
    <row r="416" ht="15.75" customHeight="1">
      <c r="F416" s="26"/>
      <c r="H416" s="15"/>
    </row>
    <row r="417" ht="15.75" customHeight="1">
      <c r="F417" s="26"/>
      <c r="H417" s="15"/>
    </row>
    <row r="418" ht="15.75" customHeight="1">
      <c r="F418" s="26"/>
      <c r="H418" s="15"/>
    </row>
    <row r="419" ht="15.75" customHeight="1">
      <c r="F419" s="26"/>
      <c r="H419" s="15"/>
    </row>
    <row r="420" ht="15.75" customHeight="1">
      <c r="F420" s="26"/>
      <c r="H420" s="15"/>
    </row>
    <row r="421" ht="15.75" customHeight="1">
      <c r="F421" s="26"/>
      <c r="H421" s="15"/>
    </row>
    <row r="422" ht="15.75" customHeight="1">
      <c r="F422" s="26"/>
      <c r="H422" s="15"/>
    </row>
    <row r="423" ht="15.75" customHeight="1">
      <c r="F423" s="26"/>
      <c r="H423" s="15"/>
    </row>
    <row r="424" ht="15.75" customHeight="1">
      <c r="F424" s="26"/>
      <c r="H424" s="15"/>
    </row>
    <row r="425" ht="15.75" customHeight="1">
      <c r="F425" s="26"/>
      <c r="H425" s="15"/>
    </row>
    <row r="426" ht="15.75" customHeight="1">
      <c r="F426" s="26"/>
      <c r="H426" s="15"/>
    </row>
    <row r="427" ht="15.75" customHeight="1">
      <c r="F427" s="26"/>
      <c r="H427" s="15"/>
    </row>
    <row r="428" ht="15.75" customHeight="1">
      <c r="F428" s="26"/>
      <c r="H428" s="15"/>
    </row>
    <row r="429" ht="15.75" customHeight="1">
      <c r="F429" s="26"/>
      <c r="H429" s="15"/>
    </row>
    <row r="430" ht="15.75" customHeight="1">
      <c r="F430" s="26"/>
      <c r="H430" s="15"/>
    </row>
    <row r="431" ht="15.75" customHeight="1">
      <c r="F431" s="26"/>
      <c r="H431" s="15"/>
    </row>
    <row r="432" ht="15.75" customHeight="1">
      <c r="F432" s="26"/>
      <c r="H432" s="15"/>
    </row>
    <row r="433" ht="15.75" customHeight="1">
      <c r="F433" s="26"/>
      <c r="H433" s="15"/>
    </row>
    <row r="434" ht="15.75" customHeight="1">
      <c r="F434" s="26"/>
      <c r="H434" s="15"/>
    </row>
    <row r="435" ht="15.75" customHeight="1">
      <c r="F435" s="26"/>
      <c r="H435" s="15"/>
    </row>
    <row r="436" ht="15.75" customHeight="1">
      <c r="F436" s="26"/>
      <c r="H436" s="15"/>
    </row>
    <row r="437" ht="15.75" customHeight="1">
      <c r="F437" s="26"/>
      <c r="H437" s="15"/>
    </row>
    <row r="438" ht="15.75" customHeight="1">
      <c r="F438" s="26"/>
      <c r="H438" s="15"/>
    </row>
    <row r="439" ht="15.75" customHeight="1">
      <c r="F439" s="26"/>
      <c r="H439" s="15"/>
    </row>
    <row r="440" ht="15.75" customHeight="1">
      <c r="F440" s="26"/>
      <c r="H440" s="15"/>
    </row>
    <row r="441" ht="15.75" customHeight="1">
      <c r="F441" s="26"/>
      <c r="H441" s="15"/>
    </row>
    <row r="442" ht="15.75" customHeight="1">
      <c r="F442" s="26"/>
      <c r="H442" s="15"/>
    </row>
    <row r="443" ht="15.75" customHeight="1">
      <c r="F443" s="26"/>
      <c r="H443" s="15"/>
    </row>
    <row r="444" ht="15.75" customHeight="1">
      <c r="F444" s="26"/>
      <c r="H444" s="15"/>
    </row>
    <row r="445" ht="15.75" customHeight="1">
      <c r="F445" s="26"/>
      <c r="H445" s="15"/>
    </row>
    <row r="446" ht="15.75" customHeight="1">
      <c r="F446" s="26"/>
      <c r="H446" s="15"/>
    </row>
    <row r="447" ht="15.75" customHeight="1">
      <c r="F447" s="26"/>
      <c r="H447" s="15"/>
    </row>
    <row r="448" ht="15.75" customHeight="1">
      <c r="F448" s="26"/>
      <c r="H448" s="15"/>
    </row>
    <row r="449" ht="15.75" customHeight="1">
      <c r="F449" s="26"/>
      <c r="H449" s="15"/>
    </row>
    <row r="450" ht="15.75" customHeight="1">
      <c r="F450" s="26"/>
      <c r="H450" s="15"/>
    </row>
    <row r="451" ht="15.75" customHeight="1">
      <c r="F451" s="26"/>
      <c r="H451" s="15"/>
    </row>
    <row r="452" ht="15.75" customHeight="1">
      <c r="F452" s="26"/>
      <c r="H452" s="15"/>
    </row>
    <row r="453" ht="15.75" customHeight="1">
      <c r="F453" s="26"/>
      <c r="H453" s="15"/>
    </row>
    <row r="454" ht="15.75" customHeight="1">
      <c r="F454" s="26"/>
      <c r="H454" s="15"/>
    </row>
    <row r="455" ht="15.75" customHeight="1">
      <c r="F455" s="26"/>
      <c r="H455" s="15"/>
    </row>
    <row r="456" ht="15.75" customHeight="1">
      <c r="F456" s="26"/>
      <c r="H456" s="15"/>
    </row>
    <row r="457" ht="15.75" customHeight="1">
      <c r="F457" s="26"/>
      <c r="H457" s="15"/>
    </row>
    <row r="458" ht="15.75" customHeight="1">
      <c r="F458" s="26"/>
      <c r="H458" s="15"/>
    </row>
    <row r="459" ht="15.75" customHeight="1">
      <c r="F459" s="26"/>
      <c r="H459" s="15"/>
    </row>
    <row r="460" ht="15.75" customHeight="1">
      <c r="F460" s="26"/>
      <c r="H460" s="15"/>
    </row>
    <row r="461" ht="15.75" customHeight="1">
      <c r="F461" s="26"/>
      <c r="H461" s="15"/>
    </row>
    <row r="462" ht="15.75" customHeight="1">
      <c r="F462" s="26"/>
      <c r="H462" s="15"/>
    </row>
    <row r="463" ht="15.75" customHeight="1">
      <c r="F463" s="26"/>
      <c r="H463" s="15"/>
    </row>
    <row r="464" ht="15.75" customHeight="1">
      <c r="F464" s="26"/>
      <c r="H464" s="15"/>
    </row>
    <row r="465" ht="15.75" customHeight="1">
      <c r="F465" s="26"/>
      <c r="H465" s="15"/>
    </row>
    <row r="466" ht="15.75" customHeight="1">
      <c r="F466" s="26"/>
      <c r="H466" s="15"/>
    </row>
    <row r="467" ht="15.75" customHeight="1">
      <c r="F467" s="26"/>
      <c r="H467" s="15"/>
    </row>
    <row r="468" ht="15.75" customHeight="1">
      <c r="F468" s="26"/>
      <c r="H468" s="15"/>
    </row>
    <row r="469" ht="15.75" customHeight="1">
      <c r="F469" s="26"/>
      <c r="H469" s="15"/>
    </row>
    <row r="470" ht="15.75" customHeight="1">
      <c r="F470" s="26"/>
      <c r="H470" s="15"/>
    </row>
    <row r="471" ht="15.75" customHeight="1">
      <c r="F471" s="26"/>
      <c r="H471" s="15"/>
    </row>
    <row r="472" ht="15.75" customHeight="1">
      <c r="F472" s="26"/>
      <c r="H472" s="15"/>
    </row>
    <row r="473" ht="15.75" customHeight="1">
      <c r="F473" s="26"/>
      <c r="H473" s="15"/>
    </row>
    <row r="474" ht="15.75" customHeight="1">
      <c r="F474" s="26"/>
      <c r="H474" s="15"/>
    </row>
    <row r="475" ht="15.75" customHeight="1">
      <c r="F475" s="26"/>
      <c r="H475" s="15"/>
    </row>
    <row r="476" ht="15.75" customHeight="1">
      <c r="F476" s="26"/>
      <c r="H476" s="15"/>
    </row>
    <row r="477" ht="15.75" customHeight="1">
      <c r="F477" s="26"/>
      <c r="H477" s="15"/>
    </row>
    <row r="478" ht="15.75" customHeight="1">
      <c r="F478" s="26"/>
      <c r="H478" s="15"/>
    </row>
    <row r="479" ht="15.75" customHeight="1">
      <c r="F479" s="26"/>
      <c r="H479" s="15"/>
    </row>
    <row r="480" ht="15.75" customHeight="1">
      <c r="F480" s="26"/>
      <c r="H480" s="15"/>
    </row>
    <row r="481" ht="15.75" customHeight="1">
      <c r="F481" s="26"/>
      <c r="H481" s="15"/>
    </row>
    <row r="482" ht="15.75" customHeight="1">
      <c r="F482" s="26"/>
      <c r="H482" s="15"/>
    </row>
    <row r="483" ht="15.75" customHeight="1">
      <c r="F483" s="26"/>
      <c r="H483" s="15"/>
    </row>
    <row r="484" ht="15.75" customHeight="1">
      <c r="F484" s="26"/>
      <c r="H484" s="15"/>
    </row>
    <row r="485" ht="15.75" customHeight="1">
      <c r="F485" s="26"/>
      <c r="H485" s="15"/>
    </row>
    <row r="486" ht="15.75" customHeight="1">
      <c r="F486" s="26"/>
      <c r="H486" s="15"/>
    </row>
    <row r="487" ht="15.75" customHeight="1">
      <c r="F487" s="26"/>
      <c r="H487" s="15"/>
    </row>
    <row r="488" ht="15.75" customHeight="1">
      <c r="F488" s="26"/>
      <c r="H488" s="15"/>
    </row>
    <row r="489" ht="15.75" customHeight="1">
      <c r="F489" s="26"/>
      <c r="H489" s="15"/>
    </row>
    <row r="490" ht="15.75" customHeight="1">
      <c r="F490" s="26"/>
      <c r="H490" s="15"/>
    </row>
    <row r="491" ht="15.75" customHeight="1">
      <c r="F491" s="26"/>
      <c r="H491" s="15"/>
    </row>
    <row r="492" ht="15.75" customHeight="1">
      <c r="F492" s="26"/>
      <c r="H492" s="15"/>
    </row>
    <row r="493" ht="15.75" customHeight="1">
      <c r="F493" s="26"/>
      <c r="H493" s="15"/>
    </row>
    <row r="494" ht="15.75" customHeight="1">
      <c r="F494" s="26"/>
      <c r="H494" s="15"/>
    </row>
    <row r="495" ht="15.75" customHeight="1">
      <c r="F495" s="26"/>
      <c r="H495" s="15"/>
    </row>
    <row r="496" ht="15.75" customHeight="1">
      <c r="F496" s="26"/>
      <c r="H496" s="15"/>
    </row>
    <row r="497" ht="15.75" customHeight="1">
      <c r="F497" s="26"/>
      <c r="H497" s="15"/>
    </row>
    <row r="498" ht="15.75" customHeight="1">
      <c r="F498" s="26"/>
      <c r="H498" s="15"/>
    </row>
    <row r="499" ht="15.75" customHeight="1">
      <c r="F499" s="26"/>
      <c r="H499" s="15"/>
    </row>
    <row r="500" ht="15.75" customHeight="1">
      <c r="F500" s="26"/>
      <c r="H500" s="15"/>
    </row>
    <row r="501" ht="15.75" customHeight="1">
      <c r="F501" s="26"/>
      <c r="H501" s="15"/>
    </row>
    <row r="502" ht="15.75" customHeight="1">
      <c r="F502" s="26"/>
      <c r="H502" s="15"/>
    </row>
    <row r="503" ht="15.75" customHeight="1">
      <c r="F503" s="26"/>
      <c r="H503" s="15"/>
    </row>
    <row r="504" ht="15.75" customHeight="1">
      <c r="F504" s="26"/>
      <c r="H504" s="15"/>
    </row>
    <row r="505" ht="15.75" customHeight="1">
      <c r="F505" s="26"/>
      <c r="H505" s="15"/>
    </row>
    <row r="506" ht="15.75" customHeight="1">
      <c r="F506" s="26"/>
      <c r="H506" s="15"/>
    </row>
    <row r="507" ht="15.75" customHeight="1">
      <c r="F507" s="26"/>
      <c r="H507" s="15"/>
    </row>
    <row r="508" ht="15.75" customHeight="1">
      <c r="F508" s="26"/>
      <c r="H508" s="15"/>
    </row>
    <row r="509" ht="15.75" customHeight="1">
      <c r="F509" s="26"/>
      <c r="H509" s="15"/>
    </row>
    <row r="510" ht="15.75" customHeight="1">
      <c r="F510" s="26"/>
      <c r="H510" s="15"/>
    </row>
    <row r="511" ht="15.75" customHeight="1">
      <c r="F511" s="26"/>
      <c r="H511" s="15"/>
    </row>
    <row r="512" ht="15.75" customHeight="1">
      <c r="F512" s="26"/>
      <c r="H512" s="15"/>
    </row>
    <row r="513" ht="15.75" customHeight="1">
      <c r="F513" s="26"/>
      <c r="H513" s="15"/>
    </row>
    <row r="514" ht="15.75" customHeight="1">
      <c r="F514" s="26"/>
      <c r="H514" s="15"/>
    </row>
    <row r="515" ht="15.75" customHeight="1">
      <c r="F515" s="26"/>
      <c r="H515" s="15"/>
    </row>
    <row r="516" ht="15.75" customHeight="1">
      <c r="F516" s="26"/>
      <c r="H516" s="15"/>
    </row>
    <row r="517" ht="15.75" customHeight="1">
      <c r="F517" s="26"/>
      <c r="H517" s="15"/>
    </row>
    <row r="518" ht="15.75" customHeight="1">
      <c r="F518" s="26"/>
      <c r="H518" s="15"/>
    </row>
    <row r="519" ht="15.75" customHeight="1">
      <c r="F519" s="26"/>
      <c r="H519" s="15"/>
    </row>
    <row r="520" ht="15.75" customHeight="1">
      <c r="F520" s="26"/>
      <c r="H520" s="15"/>
    </row>
    <row r="521" ht="15.75" customHeight="1">
      <c r="F521" s="26"/>
      <c r="H521" s="15"/>
    </row>
    <row r="522" ht="15.75" customHeight="1">
      <c r="F522" s="26"/>
      <c r="H522" s="15"/>
    </row>
    <row r="523" ht="15.75" customHeight="1">
      <c r="F523" s="26"/>
      <c r="H523" s="15"/>
    </row>
    <row r="524" ht="15.75" customHeight="1">
      <c r="F524" s="26"/>
      <c r="H524" s="15"/>
    </row>
    <row r="525" ht="15.75" customHeight="1">
      <c r="F525" s="26"/>
      <c r="H525" s="15"/>
    </row>
    <row r="526" ht="15.75" customHeight="1">
      <c r="F526" s="26"/>
      <c r="H526" s="15"/>
    </row>
    <row r="527" ht="15.75" customHeight="1">
      <c r="F527" s="26"/>
      <c r="H527" s="15"/>
    </row>
    <row r="528" ht="15.75" customHeight="1">
      <c r="F528" s="26"/>
      <c r="H528" s="15"/>
    </row>
    <row r="529" ht="15.75" customHeight="1">
      <c r="F529" s="26"/>
      <c r="H529" s="15"/>
    </row>
    <row r="530" ht="15.75" customHeight="1">
      <c r="F530" s="26"/>
      <c r="H530" s="15"/>
    </row>
    <row r="531" ht="15.75" customHeight="1">
      <c r="F531" s="26"/>
      <c r="H531" s="15"/>
    </row>
    <row r="532" ht="15.75" customHeight="1">
      <c r="F532" s="26"/>
      <c r="H532" s="15"/>
    </row>
    <row r="533" ht="15.75" customHeight="1">
      <c r="F533" s="26"/>
      <c r="H533" s="15"/>
    </row>
    <row r="534" ht="15.75" customHeight="1">
      <c r="F534" s="26"/>
      <c r="H534" s="15"/>
    </row>
    <row r="535" ht="15.75" customHeight="1">
      <c r="F535" s="26"/>
      <c r="H535" s="15"/>
    </row>
    <row r="536" ht="15.75" customHeight="1">
      <c r="F536" s="26"/>
      <c r="H536" s="15"/>
    </row>
    <row r="537" ht="15.75" customHeight="1">
      <c r="F537" s="26"/>
      <c r="H537" s="15"/>
    </row>
    <row r="538" ht="15.75" customHeight="1">
      <c r="F538" s="26"/>
      <c r="H538" s="15"/>
    </row>
    <row r="539" ht="15.75" customHeight="1">
      <c r="F539" s="26"/>
      <c r="H539" s="15"/>
    </row>
    <row r="540" ht="15.75" customHeight="1">
      <c r="F540" s="26"/>
      <c r="H540" s="15"/>
    </row>
    <row r="541" ht="15.75" customHeight="1">
      <c r="F541" s="26"/>
      <c r="H541" s="15"/>
    </row>
    <row r="542" ht="15.75" customHeight="1">
      <c r="F542" s="26"/>
      <c r="H542" s="15"/>
    </row>
    <row r="543" ht="15.75" customHeight="1">
      <c r="F543" s="26"/>
      <c r="H543" s="15"/>
    </row>
    <row r="544" ht="15.75" customHeight="1">
      <c r="F544" s="26"/>
      <c r="H544" s="15"/>
    </row>
    <row r="545" ht="15.75" customHeight="1">
      <c r="F545" s="26"/>
      <c r="H545" s="15"/>
    </row>
    <row r="546" ht="15.75" customHeight="1">
      <c r="F546" s="26"/>
      <c r="H546" s="15"/>
    </row>
    <row r="547" ht="15.75" customHeight="1">
      <c r="F547" s="26"/>
      <c r="H547" s="15"/>
    </row>
    <row r="548" ht="15.75" customHeight="1">
      <c r="F548" s="26"/>
      <c r="H548" s="15"/>
    </row>
    <row r="549" ht="15.75" customHeight="1">
      <c r="F549" s="26"/>
      <c r="H549" s="15"/>
    </row>
    <row r="550" ht="15.75" customHeight="1">
      <c r="F550" s="26"/>
      <c r="H550" s="15"/>
    </row>
    <row r="551" ht="15.75" customHeight="1">
      <c r="F551" s="26"/>
      <c r="H551" s="15"/>
    </row>
    <row r="552" ht="15.75" customHeight="1">
      <c r="F552" s="26"/>
      <c r="H552" s="15"/>
    </row>
    <row r="553" ht="15.75" customHeight="1">
      <c r="F553" s="26"/>
      <c r="H553" s="15"/>
    </row>
    <row r="554" ht="15.75" customHeight="1">
      <c r="F554" s="26"/>
      <c r="H554" s="15"/>
    </row>
    <row r="555" ht="15.75" customHeight="1">
      <c r="F555" s="26"/>
      <c r="H555" s="15"/>
    </row>
    <row r="556" ht="15.75" customHeight="1">
      <c r="F556" s="26"/>
      <c r="H556" s="15"/>
    </row>
    <row r="557" ht="15.75" customHeight="1">
      <c r="F557" s="26"/>
      <c r="H557" s="15"/>
    </row>
    <row r="558" ht="15.75" customHeight="1">
      <c r="F558" s="26"/>
      <c r="H558" s="15"/>
    </row>
    <row r="559" ht="15.75" customHeight="1">
      <c r="F559" s="26"/>
      <c r="H559" s="15"/>
    </row>
    <row r="560" ht="15.75" customHeight="1">
      <c r="F560" s="26"/>
      <c r="H560" s="15"/>
    </row>
    <row r="561" ht="15.75" customHeight="1">
      <c r="F561" s="26"/>
      <c r="H561" s="15"/>
    </row>
    <row r="562" ht="15.75" customHeight="1">
      <c r="F562" s="26"/>
      <c r="H562" s="15"/>
    </row>
    <row r="563" ht="15.75" customHeight="1">
      <c r="F563" s="26"/>
      <c r="H563" s="15"/>
    </row>
    <row r="564" ht="15.75" customHeight="1">
      <c r="F564" s="26"/>
      <c r="H564" s="15"/>
    </row>
    <row r="565" ht="15.75" customHeight="1">
      <c r="F565" s="26"/>
      <c r="H565" s="15"/>
    </row>
    <row r="566" ht="15.75" customHeight="1">
      <c r="F566" s="26"/>
      <c r="H566" s="15"/>
    </row>
    <row r="567" ht="15.75" customHeight="1">
      <c r="F567" s="26"/>
      <c r="H567" s="15"/>
    </row>
    <row r="568" ht="15.75" customHeight="1">
      <c r="F568" s="26"/>
      <c r="H568" s="15"/>
    </row>
    <row r="569" ht="15.75" customHeight="1">
      <c r="F569" s="26"/>
      <c r="H569" s="15"/>
    </row>
    <row r="570" ht="15.75" customHeight="1">
      <c r="F570" s="26"/>
      <c r="H570" s="15"/>
    </row>
    <row r="571" ht="15.75" customHeight="1">
      <c r="F571" s="26"/>
      <c r="H571" s="15"/>
    </row>
    <row r="572" ht="15.75" customHeight="1">
      <c r="F572" s="26"/>
      <c r="H572" s="15"/>
    </row>
    <row r="573" ht="15.75" customHeight="1">
      <c r="F573" s="26"/>
      <c r="H573" s="15"/>
    </row>
    <row r="574" ht="15.75" customHeight="1">
      <c r="F574" s="26"/>
      <c r="H574" s="15"/>
    </row>
    <row r="575" ht="15.75" customHeight="1">
      <c r="F575" s="26"/>
      <c r="H575" s="15"/>
    </row>
    <row r="576" ht="15.75" customHeight="1">
      <c r="F576" s="26"/>
      <c r="H576" s="15"/>
    </row>
    <row r="577" ht="15.75" customHeight="1">
      <c r="F577" s="26"/>
      <c r="H577" s="15"/>
    </row>
    <row r="578" ht="15.75" customHeight="1">
      <c r="F578" s="26"/>
      <c r="H578" s="15"/>
    </row>
    <row r="579" ht="15.75" customHeight="1">
      <c r="F579" s="26"/>
      <c r="H579" s="15"/>
    </row>
    <row r="580" ht="15.75" customHeight="1">
      <c r="F580" s="26"/>
      <c r="H580" s="15"/>
    </row>
    <row r="581" ht="15.75" customHeight="1">
      <c r="F581" s="26"/>
      <c r="H581" s="15"/>
    </row>
    <row r="582" ht="15.75" customHeight="1">
      <c r="F582" s="26"/>
      <c r="H582" s="15"/>
    </row>
    <row r="583" ht="15.75" customHeight="1">
      <c r="F583" s="26"/>
      <c r="H583" s="15"/>
    </row>
    <row r="584" ht="15.75" customHeight="1">
      <c r="F584" s="26"/>
      <c r="H584" s="15"/>
    </row>
    <row r="585" ht="15.75" customHeight="1">
      <c r="F585" s="26"/>
      <c r="H585" s="15"/>
    </row>
    <row r="586" ht="15.75" customHeight="1">
      <c r="F586" s="26"/>
      <c r="H586" s="15"/>
    </row>
    <row r="587" ht="15.75" customHeight="1">
      <c r="F587" s="26"/>
      <c r="H587" s="15"/>
    </row>
    <row r="588" ht="15.75" customHeight="1">
      <c r="F588" s="26"/>
      <c r="H588" s="15"/>
    </row>
    <row r="589" ht="15.75" customHeight="1">
      <c r="F589" s="26"/>
      <c r="H589" s="15"/>
    </row>
    <row r="590" ht="15.75" customHeight="1">
      <c r="F590" s="26"/>
      <c r="H590" s="15"/>
    </row>
    <row r="591" ht="15.75" customHeight="1">
      <c r="F591" s="26"/>
      <c r="H591" s="15"/>
    </row>
    <row r="592" ht="15.75" customHeight="1">
      <c r="F592" s="26"/>
      <c r="H592" s="15"/>
    </row>
    <row r="593" ht="15.75" customHeight="1">
      <c r="F593" s="26"/>
      <c r="H593" s="15"/>
    </row>
    <row r="594" ht="15.75" customHeight="1">
      <c r="F594" s="26"/>
      <c r="H594" s="15"/>
    </row>
    <row r="595" ht="15.75" customHeight="1">
      <c r="F595" s="26"/>
      <c r="H595" s="15"/>
    </row>
    <row r="596" ht="15.75" customHeight="1">
      <c r="F596" s="26"/>
      <c r="H596" s="15"/>
    </row>
    <row r="597" ht="15.75" customHeight="1">
      <c r="F597" s="26"/>
      <c r="H597" s="15"/>
    </row>
    <row r="598" ht="15.75" customHeight="1">
      <c r="F598" s="26"/>
      <c r="H598" s="15"/>
    </row>
    <row r="599" ht="15.75" customHeight="1">
      <c r="F599" s="26"/>
      <c r="H599" s="15"/>
    </row>
    <row r="600" ht="15.75" customHeight="1">
      <c r="F600" s="26"/>
      <c r="H600" s="15"/>
    </row>
    <row r="601" ht="15.75" customHeight="1">
      <c r="F601" s="26"/>
      <c r="H601" s="15"/>
    </row>
    <row r="602" ht="15.75" customHeight="1">
      <c r="F602" s="26"/>
      <c r="H602" s="15"/>
    </row>
    <row r="603" ht="15.75" customHeight="1">
      <c r="F603" s="26"/>
      <c r="H603" s="15"/>
    </row>
    <row r="604" ht="15.75" customHeight="1">
      <c r="F604" s="26"/>
      <c r="H604" s="15"/>
    </row>
    <row r="605" ht="15.75" customHeight="1">
      <c r="F605" s="26"/>
      <c r="H605" s="15"/>
    </row>
    <row r="606" ht="15.75" customHeight="1">
      <c r="F606" s="26"/>
      <c r="H606" s="15"/>
    </row>
    <row r="607" ht="15.75" customHeight="1">
      <c r="F607" s="26"/>
      <c r="H607" s="15"/>
    </row>
    <row r="608" ht="15.75" customHeight="1">
      <c r="F608" s="26"/>
      <c r="H608" s="15"/>
    </row>
    <row r="609" ht="15.75" customHeight="1">
      <c r="F609" s="26"/>
      <c r="H609" s="15"/>
    </row>
    <row r="610" ht="15.75" customHeight="1">
      <c r="F610" s="26"/>
      <c r="H610" s="15"/>
    </row>
    <row r="611" ht="15.75" customHeight="1">
      <c r="F611" s="26"/>
      <c r="H611" s="15"/>
    </row>
    <row r="612" ht="15.75" customHeight="1">
      <c r="F612" s="26"/>
      <c r="H612" s="15"/>
    </row>
    <row r="613" ht="15.75" customHeight="1">
      <c r="F613" s="26"/>
      <c r="H613" s="15"/>
    </row>
    <row r="614" ht="15.75" customHeight="1">
      <c r="F614" s="26"/>
      <c r="H614" s="15"/>
    </row>
    <row r="615" ht="15.75" customHeight="1">
      <c r="F615" s="26"/>
      <c r="H615" s="15"/>
    </row>
    <row r="616" ht="15.75" customHeight="1">
      <c r="F616" s="26"/>
      <c r="H616" s="15"/>
    </row>
    <row r="617" ht="15.75" customHeight="1">
      <c r="F617" s="26"/>
      <c r="H617" s="15"/>
    </row>
    <row r="618" ht="15.75" customHeight="1">
      <c r="F618" s="26"/>
      <c r="H618" s="15"/>
    </row>
    <row r="619" ht="15.75" customHeight="1">
      <c r="F619" s="26"/>
      <c r="H619" s="15"/>
    </row>
    <row r="620" ht="15.75" customHeight="1">
      <c r="F620" s="26"/>
      <c r="H620" s="15"/>
    </row>
    <row r="621" ht="15.75" customHeight="1">
      <c r="F621" s="26"/>
      <c r="H621" s="15"/>
    </row>
    <row r="622" ht="15.75" customHeight="1">
      <c r="F622" s="26"/>
      <c r="H622" s="15"/>
    </row>
    <row r="623" ht="15.75" customHeight="1">
      <c r="F623" s="26"/>
      <c r="H623" s="15"/>
    </row>
    <row r="624" ht="15.75" customHeight="1">
      <c r="F624" s="26"/>
      <c r="H624" s="15"/>
    </row>
    <row r="625" ht="15.75" customHeight="1">
      <c r="F625" s="26"/>
      <c r="H625" s="15"/>
    </row>
    <row r="626" ht="15.75" customHeight="1">
      <c r="F626" s="26"/>
      <c r="H626" s="15"/>
    </row>
    <row r="627" ht="15.75" customHeight="1">
      <c r="F627" s="26"/>
      <c r="H627" s="15"/>
    </row>
    <row r="628" ht="15.75" customHeight="1">
      <c r="F628" s="26"/>
      <c r="H628" s="15"/>
    </row>
    <row r="629" ht="15.75" customHeight="1">
      <c r="F629" s="26"/>
      <c r="H629" s="15"/>
    </row>
    <row r="630" ht="15.75" customHeight="1">
      <c r="F630" s="26"/>
      <c r="H630" s="15"/>
    </row>
    <row r="631" ht="15.75" customHeight="1">
      <c r="F631" s="26"/>
      <c r="H631" s="15"/>
    </row>
    <row r="632" ht="15.75" customHeight="1">
      <c r="F632" s="26"/>
      <c r="H632" s="15"/>
    </row>
    <row r="633" ht="15.75" customHeight="1">
      <c r="F633" s="26"/>
      <c r="H633" s="15"/>
    </row>
    <row r="634" ht="15.75" customHeight="1">
      <c r="F634" s="26"/>
      <c r="H634" s="15"/>
    </row>
    <row r="635" ht="15.75" customHeight="1">
      <c r="F635" s="26"/>
      <c r="H635" s="15"/>
    </row>
    <row r="636" ht="15.75" customHeight="1">
      <c r="F636" s="26"/>
      <c r="H636" s="15"/>
    </row>
    <row r="637" ht="15.75" customHeight="1">
      <c r="F637" s="26"/>
      <c r="H637" s="15"/>
    </row>
    <row r="638" ht="15.75" customHeight="1">
      <c r="F638" s="26"/>
      <c r="H638" s="15"/>
    </row>
    <row r="639" ht="15.75" customHeight="1">
      <c r="F639" s="26"/>
      <c r="H639" s="15"/>
    </row>
    <row r="640" ht="15.75" customHeight="1">
      <c r="F640" s="26"/>
      <c r="H640" s="15"/>
    </row>
    <row r="641" ht="15.75" customHeight="1">
      <c r="F641" s="26"/>
      <c r="H641" s="15"/>
    </row>
    <row r="642" ht="15.75" customHeight="1">
      <c r="F642" s="26"/>
      <c r="H642" s="15"/>
    </row>
    <row r="643" ht="15.75" customHeight="1">
      <c r="F643" s="26"/>
      <c r="H643" s="15"/>
    </row>
    <row r="644" ht="15.75" customHeight="1">
      <c r="F644" s="26"/>
      <c r="H644" s="15"/>
    </row>
    <row r="645" ht="15.75" customHeight="1">
      <c r="F645" s="26"/>
      <c r="H645" s="15"/>
    </row>
    <row r="646" ht="15.75" customHeight="1">
      <c r="F646" s="26"/>
      <c r="H646" s="15"/>
    </row>
    <row r="647" ht="15.75" customHeight="1">
      <c r="F647" s="26"/>
      <c r="H647" s="15"/>
    </row>
    <row r="648" ht="15.75" customHeight="1">
      <c r="F648" s="26"/>
      <c r="H648" s="15"/>
    </row>
    <row r="649" ht="15.75" customHeight="1">
      <c r="F649" s="26"/>
      <c r="H649" s="15"/>
    </row>
    <row r="650" ht="15.75" customHeight="1">
      <c r="F650" s="26"/>
      <c r="H650" s="15"/>
    </row>
    <row r="651" ht="15.75" customHeight="1">
      <c r="F651" s="26"/>
      <c r="H651" s="15"/>
    </row>
    <row r="652" ht="15.75" customHeight="1">
      <c r="F652" s="26"/>
      <c r="H652" s="15"/>
    </row>
    <row r="653" ht="15.75" customHeight="1">
      <c r="F653" s="26"/>
      <c r="H653" s="15"/>
    </row>
    <row r="654" ht="15.75" customHeight="1">
      <c r="F654" s="26"/>
      <c r="H654" s="15"/>
    </row>
    <row r="655" ht="15.75" customHeight="1">
      <c r="F655" s="26"/>
      <c r="H655" s="15"/>
    </row>
    <row r="656" ht="15.75" customHeight="1">
      <c r="F656" s="26"/>
      <c r="H656" s="15"/>
    </row>
    <row r="657" ht="15.75" customHeight="1">
      <c r="F657" s="26"/>
      <c r="H657" s="15"/>
    </row>
    <row r="658" ht="15.75" customHeight="1">
      <c r="F658" s="26"/>
      <c r="H658" s="15"/>
    </row>
    <row r="659" ht="15.75" customHeight="1">
      <c r="F659" s="26"/>
      <c r="H659" s="15"/>
    </row>
    <row r="660" ht="15.75" customHeight="1">
      <c r="F660" s="26"/>
      <c r="H660" s="15"/>
    </row>
    <row r="661" ht="15.75" customHeight="1">
      <c r="F661" s="26"/>
      <c r="H661" s="15"/>
    </row>
    <row r="662" ht="15.75" customHeight="1">
      <c r="F662" s="26"/>
      <c r="H662" s="15"/>
    </row>
    <row r="663" ht="15.75" customHeight="1">
      <c r="F663" s="26"/>
      <c r="H663" s="15"/>
    </row>
    <row r="664" ht="15.75" customHeight="1">
      <c r="F664" s="26"/>
      <c r="H664" s="15"/>
    </row>
    <row r="665" ht="15.75" customHeight="1">
      <c r="F665" s="26"/>
      <c r="H665" s="15"/>
    </row>
    <row r="666" ht="15.75" customHeight="1">
      <c r="F666" s="26"/>
      <c r="H666" s="15"/>
    </row>
    <row r="667" ht="15.75" customHeight="1">
      <c r="F667" s="26"/>
      <c r="H667" s="15"/>
    </row>
    <row r="668" ht="15.75" customHeight="1">
      <c r="F668" s="26"/>
      <c r="H668" s="15"/>
    </row>
    <row r="669" ht="15.75" customHeight="1">
      <c r="F669" s="26"/>
      <c r="H669" s="15"/>
    </row>
    <row r="670" ht="15.75" customHeight="1">
      <c r="F670" s="26"/>
      <c r="H670" s="15"/>
    </row>
    <row r="671" ht="15.75" customHeight="1">
      <c r="F671" s="26"/>
      <c r="H671" s="15"/>
    </row>
    <row r="672" ht="15.75" customHeight="1">
      <c r="F672" s="26"/>
      <c r="H672" s="15"/>
    </row>
    <row r="673" ht="15.75" customHeight="1">
      <c r="F673" s="26"/>
      <c r="H673" s="15"/>
    </row>
    <row r="674" ht="15.75" customHeight="1">
      <c r="F674" s="26"/>
      <c r="H674" s="15"/>
    </row>
    <row r="675" ht="15.75" customHeight="1">
      <c r="F675" s="26"/>
      <c r="H675" s="15"/>
    </row>
    <row r="676" ht="15.75" customHeight="1">
      <c r="F676" s="26"/>
      <c r="H676" s="15"/>
    </row>
    <row r="677" ht="15.75" customHeight="1">
      <c r="F677" s="26"/>
      <c r="H677" s="15"/>
    </row>
    <row r="678" ht="15.75" customHeight="1">
      <c r="F678" s="26"/>
      <c r="H678" s="15"/>
    </row>
    <row r="679" ht="15.75" customHeight="1">
      <c r="F679" s="26"/>
      <c r="H679" s="15"/>
    </row>
    <row r="680" ht="15.75" customHeight="1">
      <c r="F680" s="26"/>
      <c r="H680" s="15"/>
    </row>
    <row r="681" ht="15.75" customHeight="1">
      <c r="F681" s="26"/>
      <c r="H681" s="15"/>
    </row>
    <row r="682" ht="15.75" customHeight="1">
      <c r="F682" s="26"/>
      <c r="H682" s="15"/>
    </row>
    <row r="683" ht="15.75" customHeight="1">
      <c r="F683" s="26"/>
      <c r="H683" s="15"/>
    </row>
    <row r="684" ht="15.75" customHeight="1">
      <c r="F684" s="26"/>
      <c r="H684" s="15"/>
    </row>
    <row r="685" ht="15.75" customHeight="1">
      <c r="F685" s="26"/>
      <c r="H685" s="15"/>
    </row>
    <row r="686" ht="15.75" customHeight="1">
      <c r="F686" s="26"/>
      <c r="H686" s="15"/>
    </row>
    <row r="687" ht="15.75" customHeight="1">
      <c r="F687" s="26"/>
      <c r="H687" s="15"/>
    </row>
    <row r="688" ht="15.75" customHeight="1">
      <c r="F688" s="26"/>
      <c r="H688" s="15"/>
    </row>
    <row r="689" ht="15.75" customHeight="1">
      <c r="F689" s="26"/>
      <c r="H689" s="15"/>
    </row>
    <row r="690" ht="15.75" customHeight="1">
      <c r="F690" s="26"/>
      <c r="H690" s="15"/>
    </row>
    <row r="691" ht="15.75" customHeight="1">
      <c r="F691" s="26"/>
      <c r="H691" s="15"/>
    </row>
    <row r="692" ht="15.75" customHeight="1">
      <c r="F692" s="26"/>
      <c r="H692" s="15"/>
    </row>
    <row r="693" ht="15.75" customHeight="1">
      <c r="F693" s="26"/>
      <c r="H693" s="15"/>
    </row>
    <row r="694" ht="15.75" customHeight="1">
      <c r="F694" s="26"/>
      <c r="H694" s="15"/>
    </row>
    <row r="695" ht="15.75" customHeight="1">
      <c r="F695" s="26"/>
      <c r="H695" s="15"/>
    </row>
    <row r="696" ht="15.75" customHeight="1">
      <c r="F696" s="26"/>
      <c r="H696" s="15"/>
    </row>
    <row r="697" ht="15.75" customHeight="1">
      <c r="F697" s="26"/>
      <c r="H697" s="15"/>
    </row>
    <row r="698" ht="15.75" customHeight="1">
      <c r="F698" s="26"/>
      <c r="H698" s="15"/>
    </row>
    <row r="699" ht="15.75" customHeight="1">
      <c r="F699" s="26"/>
      <c r="H699" s="15"/>
    </row>
    <row r="700" ht="15.75" customHeight="1">
      <c r="F700" s="26"/>
      <c r="H700" s="15"/>
    </row>
    <row r="701" ht="15.75" customHeight="1">
      <c r="F701" s="26"/>
      <c r="H701" s="15"/>
    </row>
    <row r="702" ht="15.75" customHeight="1">
      <c r="F702" s="26"/>
      <c r="H702" s="15"/>
    </row>
    <row r="703" ht="15.75" customHeight="1">
      <c r="F703" s="26"/>
      <c r="H703" s="15"/>
    </row>
    <row r="704" ht="15.75" customHeight="1">
      <c r="F704" s="26"/>
      <c r="H704" s="15"/>
    </row>
    <row r="705" ht="15.75" customHeight="1">
      <c r="F705" s="26"/>
      <c r="H705" s="15"/>
    </row>
    <row r="706" ht="15.75" customHeight="1">
      <c r="F706" s="26"/>
      <c r="H706" s="15"/>
    </row>
    <row r="707" ht="15.75" customHeight="1">
      <c r="F707" s="26"/>
      <c r="H707" s="15"/>
    </row>
    <row r="708" ht="15.75" customHeight="1">
      <c r="F708" s="26"/>
      <c r="H708" s="15"/>
    </row>
    <row r="709" ht="15.75" customHeight="1">
      <c r="F709" s="26"/>
      <c r="H709" s="15"/>
    </row>
    <row r="710" ht="15.75" customHeight="1">
      <c r="F710" s="26"/>
      <c r="H710" s="15"/>
    </row>
    <row r="711" ht="15.75" customHeight="1">
      <c r="F711" s="26"/>
      <c r="H711" s="15"/>
    </row>
    <row r="712" ht="15.75" customHeight="1">
      <c r="F712" s="26"/>
      <c r="H712" s="15"/>
    </row>
    <row r="713" ht="15.75" customHeight="1">
      <c r="F713" s="26"/>
      <c r="H713" s="15"/>
    </row>
    <row r="714" ht="15.75" customHeight="1">
      <c r="F714" s="26"/>
      <c r="H714" s="15"/>
    </row>
    <row r="715" ht="15.75" customHeight="1">
      <c r="F715" s="26"/>
      <c r="H715" s="15"/>
    </row>
    <row r="716" ht="15.75" customHeight="1">
      <c r="F716" s="26"/>
      <c r="H716" s="15"/>
    </row>
    <row r="717" ht="15.75" customHeight="1">
      <c r="F717" s="26"/>
      <c r="H717" s="15"/>
    </row>
    <row r="718" ht="15.75" customHeight="1">
      <c r="F718" s="26"/>
      <c r="H718" s="15"/>
    </row>
    <row r="719" ht="15.75" customHeight="1">
      <c r="F719" s="26"/>
      <c r="H719" s="15"/>
    </row>
    <row r="720" ht="15.75" customHeight="1">
      <c r="F720" s="26"/>
      <c r="H720" s="15"/>
    </row>
    <row r="721" ht="15.75" customHeight="1">
      <c r="F721" s="26"/>
      <c r="H721" s="15"/>
    </row>
    <row r="722" ht="15.75" customHeight="1">
      <c r="F722" s="26"/>
      <c r="H722" s="15"/>
    </row>
    <row r="723" ht="15.75" customHeight="1">
      <c r="F723" s="26"/>
      <c r="H723" s="15"/>
    </row>
    <row r="724" ht="15.75" customHeight="1">
      <c r="F724" s="26"/>
      <c r="H724" s="15"/>
    </row>
    <row r="725" ht="15.75" customHeight="1">
      <c r="F725" s="26"/>
      <c r="H725" s="15"/>
    </row>
    <row r="726" ht="15.75" customHeight="1">
      <c r="F726" s="26"/>
      <c r="H726" s="15"/>
    </row>
    <row r="727" ht="15.75" customHeight="1">
      <c r="F727" s="26"/>
      <c r="H727" s="15"/>
    </row>
    <row r="728" ht="15.75" customHeight="1">
      <c r="F728" s="26"/>
      <c r="H728" s="15"/>
    </row>
    <row r="729" ht="15.75" customHeight="1">
      <c r="F729" s="26"/>
      <c r="H729" s="15"/>
    </row>
    <row r="730" ht="15.75" customHeight="1">
      <c r="F730" s="26"/>
      <c r="H730" s="15"/>
    </row>
    <row r="731" ht="15.75" customHeight="1">
      <c r="F731" s="26"/>
      <c r="H731" s="15"/>
    </row>
    <row r="732" ht="15.75" customHeight="1">
      <c r="F732" s="26"/>
      <c r="H732" s="15"/>
    </row>
    <row r="733" ht="15.75" customHeight="1">
      <c r="F733" s="26"/>
      <c r="H733" s="15"/>
    </row>
    <row r="734" ht="15.75" customHeight="1">
      <c r="F734" s="26"/>
      <c r="H734" s="15"/>
    </row>
    <row r="735" ht="15.75" customHeight="1">
      <c r="F735" s="26"/>
      <c r="H735" s="15"/>
    </row>
    <row r="736" ht="15.75" customHeight="1">
      <c r="F736" s="26"/>
      <c r="H736" s="15"/>
    </row>
    <row r="737" ht="15.75" customHeight="1">
      <c r="F737" s="26"/>
      <c r="H737" s="15"/>
    </row>
    <row r="738" ht="15.75" customHeight="1">
      <c r="F738" s="26"/>
      <c r="H738" s="15"/>
    </row>
    <row r="739" ht="15.75" customHeight="1">
      <c r="F739" s="26"/>
      <c r="H739" s="15"/>
    </row>
    <row r="740" ht="15.75" customHeight="1">
      <c r="F740" s="26"/>
      <c r="H740" s="15"/>
    </row>
    <row r="741" ht="15.75" customHeight="1">
      <c r="F741" s="26"/>
      <c r="H741" s="15"/>
    </row>
    <row r="742" ht="15.75" customHeight="1">
      <c r="F742" s="26"/>
      <c r="H742" s="15"/>
    </row>
    <row r="743" ht="15.75" customHeight="1">
      <c r="F743" s="26"/>
      <c r="H743" s="15"/>
    </row>
    <row r="744" ht="15.75" customHeight="1">
      <c r="F744" s="26"/>
      <c r="H744" s="15"/>
    </row>
    <row r="745" ht="15.75" customHeight="1">
      <c r="F745" s="26"/>
      <c r="H745" s="15"/>
    </row>
    <row r="746" ht="15.75" customHeight="1">
      <c r="F746" s="26"/>
      <c r="H746" s="15"/>
    </row>
    <row r="747" ht="15.75" customHeight="1">
      <c r="F747" s="26"/>
      <c r="H747" s="15"/>
    </row>
    <row r="748" ht="15.75" customHeight="1">
      <c r="F748" s="26"/>
      <c r="H748" s="15"/>
    </row>
    <row r="749" ht="15.75" customHeight="1">
      <c r="F749" s="26"/>
      <c r="H749" s="15"/>
    </row>
    <row r="750" ht="15.75" customHeight="1">
      <c r="F750" s="26"/>
      <c r="H750" s="15"/>
    </row>
    <row r="751" ht="15.75" customHeight="1">
      <c r="F751" s="26"/>
      <c r="H751" s="15"/>
    </row>
    <row r="752" ht="15.75" customHeight="1">
      <c r="F752" s="26"/>
      <c r="H752" s="15"/>
    </row>
    <row r="753" ht="15.75" customHeight="1">
      <c r="F753" s="26"/>
      <c r="H753" s="15"/>
    </row>
    <row r="754" ht="15.75" customHeight="1">
      <c r="F754" s="26"/>
      <c r="H754" s="15"/>
    </row>
    <row r="755" ht="15.75" customHeight="1">
      <c r="F755" s="26"/>
      <c r="H755" s="15"/>
    </row>
    <row r="756" ht="15.75" customHeight="1">
      <c r="F756" s="26"/>
      <c r="H756" s="15"/>
    </row>
    <row r="757" ht="15.75" customHeight="1">
      <c r="F757" s="26"/>
      <c r="H757" s="15"/>
    </row>
    <row r="758" ht="15.75" customHeight="1">
      <c r="F758" s="26"/>
      <c r="H758" s="15"/>
    </row>
    <row r="759" ht="15.75" customHeight="1">
      <c r="F759" s="26"/>
      <c r="H759" s="15"/>
    </row>
    <row r="760" ht="15.75" customHeight="1">
      <c r="F760" s="26"/>
      <c r="H760" s="15"/>
    </row>
    <row r="761" ht="15.75" customHeight="1">
      <c r="F761" s="26"/>
      <c r="H761" s="15"/>
    </row>
    <row r="762" ht="15.75" customHeight="1">
      <c r="F762" s="26"/>
      <c r="H762" s="15"/>
    </row>
    <row r="763" ht="15.75" customHeight="1">
      <c r="F763" s="26"/>
      <c r="H763" s="15"/>
    </row>
    <row r="764" ht="15.75" customHeight="1">
      <c r="F764" s="26"/>
      <c r="H764" s="15"/>
    </row>
    <row r="765" ht="15.75" customHeight="1">
      <c r="F765" s="26"/>
      <c r="H765" s="15"/>
    </row>
    <row r="766" ht="15.75" customHeight="1">
      <c r="F766" s="26"/>
      <c r="H766" s="15"/>
    </row>
    <row r="767" ht="15.75" customHeight="1">
      <c r="F767" s="26"/>
      <c r="H767" s="15"/>
    </row>
    <row r="768" ht="15.75" customHeight="1">
      <c r="F768" s="26"/>
      <c r="H768" s="15"/>
    </row>
    <row r="769" ht="15.75" customHeight="1">
      <c r="F769" s="26"/>
      <c r="H769" s="15"/>
    </row>
    <row r="770" ht="15.75" customHeight="1">
      <c r="F770" s="26"/>
      <c r="H770" s="15"/>
    </row>
    <row r="771" ht="15.75" customHeight="1">
      <c r="F771" s="26"/>
      <c r="H771" s="15"/>
    </row>
    <row r="772" ht="15.75" customHeight="1">
      <c r="F772" s="26"/>
      <c r="H772" s="15"/>
    </row>
    <row r="773" ht="15.75" customHeight="1">
      <c r="F773" s="26"/>
      <c r="H773" s="15"/>
    </row>
    <row r="774" ht="15.75" customHeight="1">
      <c r="F774" s="26"/>
      <c r="H774" s="15"/>
    </row>
    <row r="775" ht="15.75" customHeight="1">
      <c r="F775" s="26"/>
      <c r="H775" s="15"/>
    </row>
    <row r="776" ht="15.75" customHeight="1">
      <c r="F776" s="26"/>
      <c r="H776" s="15"/>
    </row>
    <row r="777" ht="15.75" customHeight="1">
      <c r="F777" s="26"/>
      <c r="H777" s="15"/>
    </row>
    <row r="778" ht="15.75" customHeight="1">
      <c r="F778" s="26"/>
      <c r="H778" s="15"/>
    </row>
    <row r="779" ht="15.75" customHeight="1">
      <c r="F779" s="26"/>
      <c r="H779" s="15"/>
    </row>
    <row r="780" ht="15.75" customHeight="1">
      <c r="F780" s="26"/>
      <c r="H780" s="15"/>
    </row>
    <row r="781" ht="15.75" customHeight="1">
      <c r="F781" s="26"/>
      <c r="H781" s="15"/>
    </row>
    <row r="782" ht="15.75" customHeight="1">
      <c r="F782" s="26"/>
      <c r="H782" s="15"/>
    </row>
    <row r="783" ht="15.75" customHeight="1">
      <c r="F783" s="26"/>
      <c r="H783" s="15"/>
    </row>
    <row r="784" ht="15.75" customHeight="1">
      <c r="F784" s="26"/>
      <c r="H784" s="15"/>
    </row>
    <row r="785" ht="15.75" customHeight="1">
      <c r="F785" s="26"/>
      <c r="H785" s="15"/>
    </row>
    <row r="786" ht="15.75" customHeight="1">
      <c r="F786" s="26"/>
      <c r="H786" s="15"/>
    </row>
    <row r="787" ht="15.75" customHeight="1">
      <c r="F787" s="26"/>
      <c r="H787" s="15"/>
    </row>
    <row r="788" ht="15.75" customHeight="1">
      <c r="F788" s="26"/>
      <c r="H788" s="15"/>
    </row>
    <row r="789" ht="15.75" customHeight="1">
      <c r="F789" s="26"/>
      <c r="H789" s="15"/>
    </row>
    <row r="790" ht="15.75" customHeight="1">
      <c r="F790" s="26"/>
      <c r="H790" s="15"/>
    </row>
    <row r="791" ht="15.75" customHeight="1">
      <c r="F791" s="26"/>
      <c r="H791" s="15"/>
    </row>
    <row r="792" ht="15.75" customHeight="1">
      <c r="F792" s="26"/>
      <c r="H792" s="15"/>
    </row>
    <row r="793" ht="15.75" customHeight="1">
      <c r="F793" s="26"/>
      <c r="H793" s="15"/>
    </row>
    <row r="794" ht="15.75" customHeight="1">
      <c r="F794" s="26"/>
      <c r="H794" s="15"/>
    </row>
    <row r="795" ht="15.75" customHeight="1">
      <c r="F795" s="26"/>
      <c r="H795" s="15"/>
    </row>
    <row r="796" ht="15.75" customHeight="1">
      <c r="F796" s="26"/>
      <c r="H796" s="15"/>
    </row>
    <row r="797" ht="15.75" customHeight="1">
      <c r="F797" s="26"/>
      <c r="H797" s="15"/>
    </row>
    <row r="798" ht="15.75" customHeight="1">
      <c r="F798" s="26"/>
      <c r="H798" s="15"/>
    </row>
    <row r="799" ht="15.75" customHeight="1">
      <c r="F799" s="26"/>
      <c r="H799" s="15"/>
    </row>
    <row r="800" ht="15.75" customHeight="1">
      <c r="F800" s="26"/>
      <c r="H800" s="15"/>
    </row>
    <row r="801" ht="15.75" customHeight="1">
      <c r="F801" s="26"/>
      <c r="H801" s="15"/>
    </row>
    <row r="802" ht="15.75" customHeight="1">
      <c r="F802" s="26"/>
      <c r="H802" s="15"/>
    </row>
    <row r="803" ht="15.75" customHeight="1">
      <c r="F803" s="26"/>
      <c r="H803" s="15"/>
    </row>
    <row r="804" ht="15.75" customHeight="1">
      <c r="F804" s="26"/>
      <c r="H804" s="15"/>
    </row>
    <row r="805" ht="15.75" customHeight="1">
      <c r="F805" s="26"/>
      <c r="H805" s="15"/>
    </row>
    <row r="806" ht="15.75" customHeight="1">
      <c r="F806" s="26"/>
      <c r="H806" s="15"/>
    </row>
    <row r="807" ht="15.75" customHeight="1">
      <c r="F807" s="26"/>
      <c r="H807" s="15"/>
    </row>
    <row r="808" ht="15.75" customHeight="1">
      <c r="F808" s="26"/>
      <c r="H808" s="15"/>
    </row>
    <row r="809" ht="15.75" customHeight="1">
      <c r="F809" s="26"/>
      <c r="H809" s="15"/>
    </row>
    <row r="810" ht="15.75" customHeight="1">
      <c r="F810" s="26"/>
      <c r="H810" s="15"/>
    </row>
    <row r="811" ht="15.75" customHeight="1">
      <c r="F811" s="26"/>
      <c r="H811" s="15"/>
    </row>
    <row r="812" ht="15.75" customHeight="1">
      <c r="F812" s="26"/>
      <c r="H812" s="15"/>
    </row>
    <row r="813" ht="15.75" customHeight="1">
      <c r="F813" s="26"/>
      <c r="H813" s="15"/>
    </row>
    <row r="814" ht="15.75" customHeight="1">
      <c r="F814" s="26"/>
      <c r="H814" s="15"/>
    </row>
    <row r="815" ht="15.75" customHeight="1">
      <c r="F815" s="26"/>
      <c r="H815" s="15"/>
    </row>
    <row r="816" ht="15.75" customHeight="1">
      <c r="F816" s="26"/>
      <c r="H816" s="15"/>
    </row>
    <row r="817" ht="15.75" customHeight="1">
      <c r="F817" s="26"/>
      <c r="H817" s="15"/>
    </row>
    <row r="818" ht="15.75" customHeight="1">
      <c r="F818" s="26"/>
      <c r="H818" s="15"/>
    </row>
    <row r="819" ht="15.75" customHeight="1">
      <c r="F819" s="26"/>
      <c r="H819" s="15"/>
    </row>
    <row r="820" ht="15.75" customHeight="1">
      <c r="F820" s="26"/>
      <c r="H820" s="15"/>
    </row>
    <row r="821" ht="15.75" customHeight="1">
      <c r="F821" s="26"/>
      <c r="H821" s="15"/>
    </row>
    <row r="822" ht="15.75" customHeight="1">
      <c r="F822" s="26"/>
      <c r="H822" s="15"/>
    </row>
    <row r="823" ht="15.75" customHeight="1">
      <c r="F823" s="26"/>
      <c r="H823" s="15"/>
    </row>
    <row r="824" ht="15.75" customHeight="1">
      <c r="F824" s="26"/>
      <c r="H824" s="15"/>
    </row>
    <row r="825" ht="15.75" customHeight="1">
      <c r="F825" s="26"/>
      <c r="H825" s="15"/>
    </row>
    <row r="826" ht="15.75" customHeight="1">
      <c r="F826" s="26"/>
      <c r="H826" s="15"/>
    </row>
    <row r="827" ht="15.75" customHeight="1">
      <c r="F827" s="26"/>
      <c r="H827" s="15"/>
    </row>
    <row r="828" ht="15.75" customHeight="1">
      <c r="F828" s="26"/>
      <c r="H828" s="15"/>
    </row>
    <row r="829" ht="15.75" customHeight="1">
      <c r="F829" s="26"/>
      <c r="H829" s="15"/>
    </row>
    <row r="830" ht="15.75" customHeight="1">
      <c r="F830" s="26"/>
      <c r="H830" s="15"/>
    </row>
    <row r="831" ht="15.75" customHeight="1">
      <c r="F831" s="26"/>
      <c r="H831" s="15"/>
    </row>
    <row r="832" ht="15.75" customHeight="1">
      <c r="F832" s="26"/>
      <c r="H832" s="15"/>
    </row>
    <row r="833" ht="15.75" customHeight="1">
      <c r="F833" s="26"/>
      <c r="H833" s="15"/>
    </row>
    <row r="834" ht="15.75" customHeight="1">
      <c r="F834" s="26"/>
      <c r="H834" s="15"/>
    </row>
    <row r="835" ht="15.75" customHeight="1">
      <c r="F835" s="26"/>
      <c r="H835" s="15"/>
    </row>
    <row r="836" ht="15.75" customHeight="1">
      <c r="F836" s="26"/>
      <c r="H836" s="15"/>
    </row>
    <row r="837" ht="15.75" customHeight="1">
      <c r="F837" s="26"/>
      <c r="H837" s="15"/>
    </row>
    <row r="838" ht="15.75" customHeight="1">
      <c r="F838" s="26"/>
      <c r="H838" s="15"/>
    </row>
    <row r="839" ht="15.75" customHeight="1">
      <c r="F839" s="26"/>
      <c r="H839" s="15"/>
    </row>
    <row r="840" ht="15.75" customHeight="1">
      <c r="F840" s="26"/>
      <c r="H840" s="15"/>
    </row>
    <row r="841" ht="15.75" customHeight="1">
      <c r="F841" s="26"/>
      <c r="H841" s="15"/>
    </row>
    <row r="842" ht="15.75" customHeight="1">
      <c r="F842" s="26"/>
      <c r="H842" s="15"/>
    </row>
    <row r="843" ht="15.75" customHeight="1">
      <c r="F843" s="26"/>
      <c r="H843" s="15"/>
    </row>
    <row r="844" ht="15.75" customHeight="1">
      <c r="F844" s="26"/>
      <c r="H844" s="15"/>
    </row>
    <row r="845" ht="15.75" customHeight="1">
      <c r="F845" s="26"/>
      <c r="H845" s="15"/>
    </row>
    <row r="846" ht="15.75" customHeight="1">
      <c r="F846" s="26"/>
      <c r="H846" s="15"/>
    </row>
    <row r="847" ht="15.75" customHeight="1">
      <c r="F847" s="26"/>
      <c r="H847" s="15"/>
    </row>
    <row r="848" ht="15.75" customHeight="1">
      <c r="F848" s="26"/>
      <c r="H848" s="15"/>
    </row>
    <row r="849" ht="15.75" customHeight="1">
      <c r="F849" s="26"/>
      <c r="H849" s="15"/>
    </row>
    <row r="850" ht="15.75" customHeight="1">
      <c r="F850" s="26"/>
      <c r="H850" s="15"/>
    </row>
    <row r="851" ht="15.75" customHeight="1">
      <c r="F851" s="26"/>
      <c r="H851" s="15"/>
    </row>
    <row r="852" ht="15.75" customHeight="1">
      <c r="F852" s="26"/>
      <c r="H852" s="15"/>
    </row>
    <row r="853" ht="15.75" customHeight="1">
      <c r="F853" s="26"/>
      <c r="H853" s="15"/>
    </row>
    <row r="854" ht="15.75" customHeight="1">
      <c r="F854" s="26"/>
      <c r="H854" s="15"/>
    </row>
    <row r="855" ht="15.75" customHeight="1">
      <c r="F855" s="26"/>
      <c r="H855" s="15"/>
    </row>
    <row r="856" ht="15.75" customHeight="1">
      <c r="F856" s="26"/>
      <c r="H856" s="15"/>
    </row>
    <row r="857" ht="15.75" customHeight="1">
      <c r="F857" s="26"/>
      <c r="H857" s="15"/>
    </row>
    <row r="858" ht="15.75" customHeight="1">
      <c r="F858" s="26"/>
      <c r="H858" s="15"/>
    </row>
    <row r="859" ht="15.75" customHeight="1">
      <c r="F859" s="26"/>
      <c r="H859" s="15"/>
    </row>
    <row r="860" ht="15.75" customHeight="1">
      <c r="F860" s="26"/>
      <c r="H860" s="15"/>
    </row>
    <row r="861" ht="15.75" customHeight="1">
      <c r="F861" s="26"/>
      <c r="H861" s="15"/>
    </row>
    <row r="862" ht="15.75" customHeight="1">
      <c r="F862" s="26"/>
      <c r="H862" s="15"/>
    </row>
    <row r="863" ht="15.75" customHeight="1">
      <c r="F863" s="26"/>
      <c r="H863" s="15"/>
    </row>
    <row r="864" ht="15.75" customHeight="1">
      <c r="F864" s="26"/>
      <c r="H864" s="15"/>
    </row>
    <row r="865" ht="15.75" customHeight="1">
      <c r="F865" s="26"/>
      <c r="H865" s="15"/>
    </row>
    <row r="866" ht="15.75" customHeight="1">
      <c r="F866" s="26"/>
      <c r="H866" s="15"/>
    </row>
    <row r="867" ht="15.75" customHeight="1">
      <c r="F867" s="26"/>
      <c r="H867" s="15"/>
    </row>
    <row r="868" ht="15.75" customHeight="1">
      <c r="F868" s="26"/>
      <c r="H868" s="15"/>
    </row>
    <row r="869" ht="15.75" customHeight="1">
      <c r="F869" s="26"/>
      <c r="H869" s="15"/>
    </row>
    <row r="870" ht="15.75" customHeight="1">
      <c r="F870" s="26"/>
      <c r="H870" s="15"/>
    </row>
    <row r="871" ht="15.75" customHeight="1">
      <c r="F871" s="26"/>
      <c r="H871" s="15"/>
    </row>
    <row r="872" ht="15.75" customHeight="1">
      <c r="F872" s="26"/>
      <c r="H872" s="15"/>
    </row>
    <row r="873" ht="15.75" customHeight="1">
      <c r="F873" s="26"/>
      <c r="H873" s="15"/>
    </row>
    <row r="874" ht="15.75" customHeight="1">
      <c r="F874" s="26"/>
      <c r="H874" s="15"/>
    </row>
    <row r="875" ht="15.75" customHeight="1">
      <c r="F875" s="26"/>
      <c r="H875" s="15"/>
    </row>
    <row r="876" ht="15.75" customHeight="1">
      <c r="F876" s="26"/>
      <c r="H876" s="15"/>
    </row>
    <row r="877" ht="15.75" customHeight="1">
      <c r="F877" s="26"/>
      <c r="H877" s="15"/>
    </row>
    <row r="878" ht="15.75" customHeight="1">
      <c r="F878" s="26"/>
      <c r="H878" s="15"/>
    </row>
    <row r="879" ht="15.75" customHeight="1">
      <c r="F879" s="26"/>
      <c r="H879" s="15"/>
    </row>
    <row r="880" ht="15.75" customHeight="1">
      <c r="F880" s="26"/>
      <c r="H880" s="15"/>
    </row>
    <row r="881" ht="15.75" customHeight="1">
      <c r="F881" s="26"/>
      <c r="H881" s="15"/>
    </row>
    <row r="882" ht="15.75" customHeight="1">
      <c r="F882" s="26"/>
      <c r="H882" s="15"/>
    </row>
    <row r="883" ht="15.75" customHeight="1">
      <c r="F883" s="26"/>
      <c r="H883" s="15"/>
    </row>
    <row r="884" ht="15.75" customHeight="1">
      <c r="F884" s="26"/>
      <c r="H884" s="15"/>
    </row>
    <row r="885" ht="15.75" customHeight="1">
      <c r="F885" s="26"/>
      <c r="H885" s="15"/>
    </row>
    <row r="886" ht="15.75" customHeight="1">
      <c r="F886" s="26"/>
      <c r="H886" s="15"/>
    </row>
    <row r="887" ht="15.75" customHeight="1">
      <c r="F887" s="26"/>
      <c r="H887" s="15"/>
    </row>
    <row r="888" ht="15.75" customHeight="1">
      <c r="F888" s="26"/>
      <c r="H888" s="15"/>
    </row>
    <row r="889" ht="15.75" customHeight="1">
      <c r="F889" s="26"/>
      <c r="H889" s="15"/>
    </row>
    <row r="890" ht="15.75" customHeight="1">
      <c r="F890" s="26"/>
      <c r="H890" s="15"/>
    </row>
    <row r="891" ht="15.75" customHeight="1">
      <c r="F891" s="26"/>
      <c r="H891" s="15"/>
    </row>
    <row r="892" ht="15.75" customHeight="1">
      <c r="F892" s="26"/>
      <c r="H892" s="15"/>
    </row>
    <row r="893" ht="15.75" customHeight="1">
      <c r="F893" s="26"/>
      <c r="H893" s="15"/>
    </row>
    <row r="894" ht="15.75" customHeight="1">
      <c r="F894" s="26"/>
      <c r="H894" s="15"/>
    </row>
    <row r="895" ht="15.75" customHeight="1">
      <c r="F895" s="26"/>
      <c r="H895" s="15"/>
    </row>
    <row r="896" ht="15.75" customHeight="1">
      <c r="F896" s="26"/>
      <c r="H896" s="15"/>
    </row>
    <row r="897" ht="15.75" customHeight="1">
      <c r="F897" s="26"/>
      <c r="H897" s="15"/>
    </row>
    <row r="898" ht="15.75" customHeight="1">
      <c r="F898" s="26"/>
      <c r="H898" s="15"/>
    </row>
    <row r="899" ht="15.75" customHeight="1">
      <c r="F899" s="26"/>
      <c r="H899" s="15"/>
    </row>
    <row r="900" ht="15.75" customHeight="1">
      <c r="F900" s="26"/>
      <c r="H900" s="15"/>
    </row>
    <row r="901" ht="15.75" customHeight="1">
      <c r="F901" s="26"/>
      <c r="H901" s="15"/>
    </row>
    <row r="902" ht="15.75" customHeight="1">
      <c r="F902" s="26"/>
      <c r="H902" s="15"/>
    </row>
    <row r="903" ht="15.75" customHeight="1">
      <c r="F903" s="26"/>
      <c r="H903" s="15"/>
    </row>
    <row r="904" ht="15.75" customHeight="1">
      <c r="F904" s="26"/>
      <c r="H904" s="15"/>
    </row>
    <row r="905" ht="15.75" customHeight="1">
      <c r="F905" s="26"/>
      <c r="H905" s="15"/>
    </row>
    <row r="906" ht="15.75" customHeight="1">
      <c r="F906" s="26"/>
      <c r="H906" s="15"/>
    </row>
    <row r="907" ht="15.75" customHeight="1">
      <c r="F907" s="26"/>
      <c r="H907" s="15"/>
    </row>
    <row r="908" ht="15.75" customHeight="1">
      <c r="F908" s="26"/>
      <c r="H908" s="15"/>
    </row>
    <row r="909" ht="15.75" customHeight="1">
      <c r="F909" s="26"/>
      <c r="H909" s="15"/>
    </row>
    <row r="910" ht="15.75" customHeight="1">
      <c r="F910" s="26"/>
      <c r="H910" s="15"/>
    </row>
    <row r="911" ht="15.75" customHeight="1">
      <c r="F911" s="26"/>
      <c r="H911" s="15"/>
    </row>
    <row r="912" ht="15.75" customHeight="1">
      <c r="F912" s="26"/>
      <c r="H912" s="15"/>
    </row>
    <row r="913" ht="15.75" customHeight="1">
      <c r="F913" s="26"/>
      <c r="H913" s="15"/>
    </row>
    <row r="914" ht="15.75" customHeight="1">
      <c r="F914" s="26"/>
      <c r="H914" s="15"/>
    </row>
    <row r="915" ht="15.75" customHeight="1">
      <c r="F915" s="26"/>
      <c r="H915" s="15"/>
    </row>
    <row r="916" ht="15.75" customHeight="1">
      <c r="F916" s="26"/>
      <c r="H916" s="15"/>
    </row>
    <row r="917" ht="15.75" customHeight="1">
      <c r="F917" s="26"/>
      <c r="H917" s="15"/>
    </row>
    <row r="918" ht="15.75" customHeight="1">
      <c r="F918" s="26"/>
      <c r="H918" s="15"/>
    </row>
    <row r="919" ht="15.75" customHeight="1">
      <c r="F919" s="26"/>
      <c r="H919" s="15"/>
    </row>
    <row r="920" ht="15.75" customHeight="1">
      <c r="F920" s="26"/>
      <c r="H920" s="15"/>
    </row>
    <row r="921" ht="15.75" customHeight="1">
      <c r="F921" s="26"/>
      <c r="H921" s="15"/>
    </row>
    <row r="922" ht="15.75" customHeight="1">
      <c r="F922" s="26"/>
      <c r="H922" s="15"/>
    </row>
    <row r="923" ht="15.75" customHeight="1">
      <c r="F923" s="26"/>
      <c r="H923" s="15"/>
    </row>
    <row r="924" ht="15.75" customHeight="1">
      <c r="F924" s="26"/>
      <c r="H924" s="15"/>
    </row>
    <row r="925" ht="15.75" customHeight="1">
      <c r="F925" s="26"/>
      <c r="H925" s="15"/>
    </row>
    <row r="926" ht="15.75" customHeight="1">
      <c r="F926" s="26"/>
      <c r="H926" s="15"/>
    </row>
    <row r="927" ht="15.75" customHeight="1">
      <c r="F927" s="26"/>
      <c r="H927" s="15"/>
    </row>
    <row r="928" ht="15.75" customHeight="1">
      <c r="F928" s="26"/>
      <c r="H928" s="15"/>
    </row>
    <row r="929" ht="15.75" customHeight="1">
      <c r="F929" s="26"/>
      <c r="H929" s="15"/>
    </row>
    <row r="930" ht="15.75" customHeight="1">
      <c r="F930" s="26"/>
      <c r="H930" s="15"/>
    </row>
    <row r="931" ht="15.75" customHeight="1">
      <c r="F931" s="26"/>
      <c r="H931" s="15"/>
    </row>
    <row r="932" ht="15.75" customHeight="1">
      <c r="F932" s="26"/>
      <c r="H932" s="15"/>
    </row>
    <row r="933" ht="15.75" customHeight="1">
      <c r="F933" s="26"/>
      <c r="H933" s="15"/>
    </row>
    <row r="934" ht="15.75" customHeight="1">
      <c r="F934" s="26"/>
      <c r="H934" s="15"/>
    </row>
    <row r="935" ht="15.75" customHeight="1">
      <c r="F935" s="26"/>
      <c r="H935" s="15"/>
    </row>
    <row r="936" ht="15.75" customHeight="1">
      <c r="F936" s="26"/>
      <c r="H936" s="15"/>
    </row>
    <row r="937" ht="15.75" customHeight="1">
      <c r="F937" s="26"/>
      <c r="H937" s="15"/>
    </row>
    <row r="938" ht="15.75" customHeight="1">
      <c r="F938" s="26"/>
      <c r="H938" s="15"/>
    </row>
    <row r="939" ht="15.75" customHeight="1">
      <c r="F939" s="26"/>
      <c r="H939" s="15"/>
    </row>
    <row r="940" ht="15.75" customHeight="1">
      <c r="F940" s="26"/>
      <c r="H940" s="15"/>
    </row>
    <row r="941" ht="15.75" customHeight="1">
      <c r="F941" s="26"/>
      <c r="H941" s="15"/>
    </row>
    <row r="942" ht="15.75" customHeight="1">
      <c r="F942" s="26"/>
      <c r="H942" s="15"/>
    </row>
    <row r="943" ht="15.75" customHeight="1">
      <c r="F943" s="26"/>
      <c r="H943" s="15"/>
    </row>
    <row r="944" ht="15.75" customHeight="1">
      <c r="F944" s="26"/>
      <c r="H944" s="15"/>
    </row>
    <row r="945" ht="15.75" customHeight="1">
      <c r="F945" s="26"/>
      <c r="H945" s="15"/>
    </row>
    <row r="946" ht="15.75" customHeight="1">
      <c r="F946" s="26"/>
      <c r="H946" s="15"/>
    </row>
    <row r="947" ht="15.75" customHeight="1">
      <c r="F947" s="26"/>
      <c r="H947" s="15"/>
    </row>
    <row r="948" ht="15.75" customHeight="1">
      <c r="F948" s="26"/>
      <c r="H948" s="15"/>
    </row>
    <row r="949" ht="15.75" customHeight="1">
      <c r="F949" s="26"/>
      <c r="H949" s="15"/>
    </row>
    <row r="950" ht="15.75" customHeight="1">
      <c r="F950" s="26"/>
      <c r="H950" s="15"/>
    </row>
    <row r="951" ht="15.75" customHeight="1">
      <c r="F951" s="26"/>
      <c r="H951" s="15"/>
    </row>
    <row r="952" ht="15.75" customHeight="1">
      <c r="F952" s="26"/>
      <c r="H952" s="15"/>
    </row>
    <row r="953" ht="15.75" customHeight="1">
      <c r="F953" s="26"/>
      <c r="H953" s="15"/>
    </row>
    <row r="954" ht="15.75" customHeight="1">
      <c r="F954" s="26"/>
      <c r="H954" s="15"/>
    </row>
    <row r="955" ht="15.75" customHeight="1">
      <c r="F955" s="26"/>
      <c r="H955" s="15"/>
    </row>
    <row r="956" ht="15.75" customHeight="1">
      <c r="F956" s="26"/>
      <c r="H956" s="15"/>
    </row>
    <row r="957" ht="15.75" customHeight="1">
      <c r="F957" s="26"/>
      <c r="H957" s="15"/>
    </row>
    <row r="958" ht="15.75" customHeight="1">
      <c r="F958" s="26"/>
      <c r="H958" s="15"/>
    </row>
    <row r="959" ht="15.75" customHeight="1">
      <c r="F959" s="26"/>
      <c r="H959" s="15"/>
    </row>
    <row r="960" ht="15.75" customHeight="1">
      <c r="F960" s="26"/>
      <c r="H960" s="15"/>
    </row>
    <row r="961" ht="15.75" customHeight="1">
      <c r="F961" s="26"/>
      <c r="H961" s="15"/>
    </row>
    <row r="962" ht="15.75" customHeight="1">
      <c r="F962" s="26"/>
      <c r="H962" s="15"/>
    </row>
    <row r="963" ht="15.75" customHeight="1">
      <c r="F963" s="26"/>
      <c r="H963" s="15"/>
    </row>
    <row r="964" ht="15.75" customHeight="1">
      <c r="F964" s="26"/>
      <c r="H964" s="15"/>
    </row>
    <row r="965" ht="15.75" customHeight="1">
      <c r="F965" s="26"/>
      <c r="H965" s="15"/>
    </row>
    <row r="966" ht="15.75" customHeight="1">
      <c r="F966" s="26"/>
      <c r="H966" s="15"/>
    </row>
    <row r="967" ht="15.75" customHeight="1">
      <c r="F967" s="26"/>
      <c r="H967" s="15"/>
    </row>
    <row r="968" ht="15.75" customHeight="1">
      <c r="F968" s="26"/>
      <c r="H968" s="15"/>
    </row>
    <row r="969" ht="15.75" customHeight="1">
      <c r="F969" s="26"/>
      <c r="H969" s="15"/>
    </row>
    <row r="970" ht="15.75" customHeight="1">
      <c r="F970" s="26"/>
      <c r="H970" s="15"/>
    </row>
    <row r="971" ht="15.75" customHeight="1">
      <c r="F971" s="26"/>
      <c r="H971" s="15"/>
    </row>
    <row r="972" ht="15.75" customHeight="1">
      <c r="F972" s="26"/>
      <c r="H972" s="15"/>
    </row>
    <row r="973" ht="15.75" customHeight="1">
      <c r="F973" s="26"/>
      <c r="H973" s="15"/>
    </row>
    <row r="974" ht="15.75" customHeight="1">
      <c r="F974" s="26"/>
      <c r="H974" s="15"/>
    </row>
    <row r="975" ht="15.75" customHeight="1">
      <c r="F975" s="26"/>
      <c r="H975" s="15"/>
    </row>
    <row r="976" ht="15.75" customHeight="1">
      <c r="F976" s="26"/>
      <c r="H976" s="15"/>
    </row>
    <row r="977" ht="15.75" customHeight="1">
      <c r="F977" s="26"/>
      <c r="H977" s="15"/>
    </row>
    <row r="978" ht="15.75" customHeight="1">
      <c r="F978" s="26"/>
      <c r="H978" s="15"/>
    </row>
    <row r="979" ht="15.75" customHeight="1">
      <c r="F979" s="26"/>
      <c r="H979" s="15"/>
    </row>
    <row r="980" ht="15.75" customHeight="1">
      <c r="F980" s="26"/>
      <c r="H980" s="15"/>
    </row>
    <row r="981" ht="15.75" customHeight="1">
      <c r="F981" s="26"/>
      <c r="H981" s="15"/>
    </row>
    <row r="982" ht="15.75" customHeight="1">
      <c r="F982" s="26"/>
      <c r="H982" s="15"/>
    </row>
    <row r="983" ht="15.75" customHeight="1">
      <c r="F983" s="26"/>
      <c r="H983" s="15"/>
    </row>
    <row r="984" ht="15.75" customHeight="1">
      <c r="F984" s="26"/>
      <c r="H984" s="15"/>
    </row>
    <row r="985" ht="15.75" customHeight="1">
      <c r="F985" s="26"/>
      <c r="H985" s="15"/>
    </row>
    <row r="986" ht="15.75" customHeight="1">
      <c r="F986" s="26"/>
      <c r="H986" s="15"/>
    </row>
    <row r="987" ht="15.75" customHeight="1">
      <c r="F987" s="26"/>
      <c r="H987" s="15"/>
    </row>
    <row r="988" ht="15.75" customHeight="1">
      <c r="F988" s="26"/>
      <c r="H988" s="15"/>
    </row>
    <row r="989" ht="15.75" customHeight="1">
      <c r="F989" s="26"/>
      <c r="H989" s="15"/>
    </row>
    <row r="990" ht="15.75" customHeight="1">
      <c r="F990" s="26"/>
      <c r="H990" s="15"/>
    </row>
    <row r="991" ht="15.75" customHeight="1">
      <c r="F991" s="26"/>
      <c r="H991" s="15"/>
    </row>
    <row r="992" ht="15.75" customHeight="1">
      <c r="F992" s="26"/>
      <c r="H992" s="15"/>
    </row>
    <row r="993" ht="15.75" customHeight="1">
      <c r="F993" s="26"/>
      <c r="H993" s="15"/>
    </row>
    <row r="994" ht="15.75" customHeight="1">
      <c r="F994" s="26"/>
      <c r="H994" s="15"/>
    </row>
    <row r="995" ht="15.75" customHeight="1">
      <c r="F995" s="26"/>
      <c r="H995" s="15"/>
    </row>
    <row r="996" ht="15.75" customHeight="1">
      <c r="F996" s="26"/>
      <c r="H996" s="15"/>
    </row>
    <row r="997" ht="15.75" customHeight="1">
      <c r="F997" s="26"/>
      <c r="H997" s="15"/>
    </row>
    <row r="998" ht="15.75" customHeight="1">
      <c r="F998" s="26"/>
      <c r="H998" s="15"/>
    </row>
    <row r="999" ht="15.75" customHeight="1">
      <c r="F999" s="26"/>
      <c r="H999" s="15"/>
    </row>
    <row r="1000" ht="15.75" customHeight="1">
      <c r="F1000" s="26"/>
      <c r="H1000" s="15"/>
    </row>
    <row r="1001" ht="15.75" customHeight="1">
      <c r="F1001" s="26"/>
      <c r="H1001" s="15"/>
    </row>
    <row r="1002" ht="15.75" customHeight="1">
      <c r="F1002" s="26"/>
      <c r="H1002" s="15"/>
    </row>
    <row r="1003" ht="15.75" customHeight="1">
      <c r="F1003" s="26"/>
      <c r="H1003" s="15"/>
    </row>
    <row r="1004" ht="15.75" customHeight="1">
      <c r="F1004" s="26"/>
      <c r="H1004" s="15"/>
    </row>
    <row r="1005" ht="15.75" customHeight="1">
      <c r="F1005" s="26"/>
      <c r="H1005" s="15"/>
    </row>
    <row r="1006" ht="15.75" customHeight="1">
      <c r="F1006" s="26"/>
      <c r="H1006" s="15"/>
    </row>
  </sheetData>
  <printOptions/>
  <pageMargins bottom="0.75" footer="0.0" header="0.0" left="0.7" right="0.7" top="0.75"/>
  <pageSetup paperSize="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23.0"/>
    <col customWidth="1" min="4" max="4" width="16.57"/>
    <col customWidth="1" min="5" max="26" width="8.71"/>
  </cols>
  <sheetData>
    <row r="1">
      <c r="A1" s="31" t="s">
        <v>36</v>
      </c>
      <c r="B1" s="2" t="s">
        <v>37</v>
      </c>
    </row>
    <row r="2">
      <c r="G2" s="32" t="s">
        <v>38</v>
      </c>
    </row>
    <row r="3">
      <c r="B3" s="33" t="s">
        <v>39</v>
      </c>
      <c r="C3" s="33" t="s">
        <v>40</v>
      </c>
      <c r="D3" s="34"/>
      <c r="F3" s="32">
        <v>-0.5</v>
      </c>
      <c r="G3" s="32">
        <v>0.5</v>
      </c>
    </row>
    <row r="4">
      <c r="B4" s="33" t="s">
        <v>41</v>
      </c>
      <c r="C4" s="33">
        <v>3.0</v>
      </c>
      <c r="D4" s="34"/>
      <c r="F4" s="35">
        <v>19.5</v>
      </c>
      <c r="G4" s="35">
        <v>29.5</v>
      </c>
    </row>
    <row r="5">
      <c r="B5" s="33" t="s">
        <v>42</v>
      </c>
      <c r="C5" s="33">
        <v>10.0</v>
      </c>
      <c r="D5" s="34"/>
      <c r="F5" s="35">
        <v>29.5</v>
      </c>
      <c r="G5" s="35">
        <v>39.5</v>
      </c>
    </row>
    <row r="6">
      <c r="B6" s="33" t="s">
        <v>43</v>
      </c>
      <c r="C6" s="33">
        <v>12.0</v>
      </c>
      <c r="D6" s="34"/>
      <c r="F6" s="35">
        <v>39.5</v>
      </c>
      <c r="G6" s="35">
        <v>49.5</v>
      </c>
    </row>
    <row r="7">
      <c r="B7" s="33" t="s">
        <v>44</v>
      </c>
      <c r="C7" s="33">
        <v>2.0</v>
      </c>
      <c r="D7" s="34"/>
      <c r="F7" s="35">
        <v>49.5</v>
      </c>
      <c r="G7" s="35">
        <v>59.5</v>
      </c>
    </row>
    <row r="8">
      <c r="B8" s="2" t="s">
        <v>45</v>
      </c>
      <c r="C8" s="7"/>
      <c r="D8" s="2"/>
      <c r="E8" s="2"/>
      <c r="F8" s="2"/>
      <c r="G8" s="15"/>
      <c r="H8" s="15"/>
    </row>
    <row r="9">
      <c r="B9" s="2" t="s">
        <v>28</v>
      </c>
      <c r="C9" s="7"/>
      <c r="D9" s="2"/>
      <c r="E9" s="2"/>
      <c r="F9" s="2"/>
      <c r="G9" s="15"/>
      <c r="H9" s="15"/>
    </row>
    <row r="10">
      <c r="B10" s="2" t="s">
        <v>46</v>
      </c>
      <c r="C10" s="7"/>
      <c r="D10" s="2"/>
      <c r="E10" s="2"/>
      <c r="F10" s="2"/>
      <c r="G10" s="15"/>
      <c r="H10" s="15"/>
    </row>
    <row r="11">
      <c r="B11" s="8" t="s">
        <v>47</v>
      </c>
    </row>
    <row r="12">
      <c r="B12" s="8" t="s">
        <v>48</v>
      </c>
    </row>
    <row r="13">
      <c r="A13" s="36"/>
      <c r="B13" s="37" t="s">
        <v>49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B14" s="8" t="s">
        <v>50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hidden="1" min="2" max="2" width="9.14"/>
    <col customWidth="1" min="3" max="3" width="38.29"/>
    <col customWidth="1" min="4" max="4" width="15.43"/>
    <col customWidth="1" min="5" max="5" width="18.29"/>
    <col customWidth="1" min="6" max="26" width="8.71"/>
  </cols>
  <sheetData>
    <row r="3">
      <c r="C3" s="38" t="s">
        <v>51</v>
      </c>
      <c r="D3" s="39" t="s">
        <v>52</v>
      </c>
    </row>
    <row r="4">
      <c r="C4" s="40" t="s">
        <v>53</v>
      </c>
      <c r="D4" s="41">
        <v>9.0</v>
      </c>
    </row>
    <row r="5">
      <c r="C5" s="40" t="s">
        <v>54</v>
      </c>
      <c r="D5" s="41">
        <v>7.0</v>
      </c>
    </row>
    <row r="6">
      <c r="C6" s="40" t="s">
        <v>55</v>
      </c>
      <c r="D6" s="41">
        <v>12.0</v>
      </c>
    </row>
    <row r="7">
      <c r="C7" s="40" t="s">
        <v>56</v>
      </c>
      <c r="D7" s="41">
        <v>5.0</v>
      </c>
    </row>
    <row r="8">
      <c r="C8" s="40" t="s">
        <v>57</v>
      </c>
      <c r="D8" s="41">
        <v>2.0</v>
      </c>
    </row>
    <row r="10" ht="18.0" customHeight="1">
      <c r="C10" s="42" t="s">
        <v>58</v>
      </c>
      <c r="E10" s="43"/>
    </row>
    <row r="11">
      <c r="C11" s="2" t="s">
        <v>45</v>
      </c>
      <c r="D11" s="7"/>
      <c r="E11" s="2"/>
      <c r="F11" s="2"/>
      <c r="G11" s="2"/>
      <c r="H11" s="15"/>
      <c r="I11" s="15"/>
    </row>
    <row r="12">
      <c r="C12" s="2" t="s">
        <v>28</v>
      </c>
      <c r="D12" s="7"/>
      <c r="E12" s="2"/>
      <c r="F12" s="2"/>
      <c r="G12" s="2"/>
      <c r="H12" s="15"/>
      <c r="I12" s="15"/>
    </row>
    <row r="13">
      <c r="C13" s="2" t="s">
        <v>46</v>
      </c>
      <c r="D13" s="7"/>
      <c r="E13" s="2"/>
      <c r="F13" s="2"/>
      <c r="G13" s="2"/>
      <c r="H13" s="15"/>
      <c r="I13" s="15"/>
    </row>
    <row r="14">
      <c r="C14" s="3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